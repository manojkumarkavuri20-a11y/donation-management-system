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 Log" sheetId="1" state="visible" r:id="rId1"/>
    <sheet xmlns:r="http://schemas.openxmlformats.org/officeDocument/2006/relationships" name="Current Inventory" sheetId="2" state="visible" r:id="rId2"/>
    <sheet xmlns:r="http://schemas.openxmlformats.org/officeDocument/2006/relationships" name="Category Lookup" sheetId="3" state="visible" r:id="rId3"/>
    <sheet xmlns:r="http://schemas.openxmlformats.org/officeDocument/2006/relationships" name="Volunteer List" sheetId="4" state="visible" r:id="rId4"/>
    <sheet xmlns:r="http://schemas.openxmlformats.org/officeDocument/2006/relationships" name="Dispatch Record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Category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6"/>
    </font>
    <font>
      <b val="1"/>
      <sz val="12"/>
    </font>
    <font>
      <b val="1"/>
      <color rgb="00FFFFFF"/>
      <sz val="1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CCCC"/>
          <bgColor rgb="00FFCCCC"/>
        </patternFill>
      </fill>
    </dxf>
    <dxf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'Monthly Summary'!G5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Summary'!$F$6:$F$8</f>
            </numRef>
          </cat>
          <val>
            <numRef>
              <f>'Monthly Summary'!$G$6:$G$8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Donations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Summary'!$A$14:$A$25</f>
            </numRef>
          </cat>
          <val>
            <numRef>
              <f>'Monthly Summary'!$B$14:$B$25</f>
            </numRef>
          </val>
        </ser>
        <ser>
          <idx val="1"/>
          <order val="1"/>
          <tx>
            <strRef>
              <f>'Monthly Summary'!C13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Summary'!$A$14:$A$25</f>
            </numRef>
          </cat>
          <val>
            <numRef>
              <f>'Monthly Summary'!$C$14:$C$25</f>
            </numRef>
          </val>
        </ser>
        <ser>
          <idx val="2"/>
          <order val="2"/>
          <tx>
            <strRef>
              <f>'Monthly Summary'!D13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Summary'!$A$14:$A$25</f>
            </numRef>
          </cat>
          <val>
            <numRef>
              <f>'Monthly Summary'!$D$14:$D$25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Items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Donation Intake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Summary'!$F$30:$F$37</f>
            </numRef>
          </cat>
          <val>
            <numRef>
              <f>'Monthly Summary'!$G$30:$G$37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Donations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Donation Intake Log - Enter new donations here. Use dropdowns for standardized fields.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Reference: Category codes and names for data validation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39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18" customWidth="1" min="7" max="7"/>
    <col width="10" customWidth="1" min="8" max="8"/>
    <col width="10" customWidth="1" min="9" max="9"/>
    <col width="12" customWidth="1" min="10" max="10"/>
    <col width="10" customWidth="1" min="11" max="11"/>
    <col width="18" customWidth="1" min="12" max="12"/>
    <col width="20" customWidth="1" min="13" max="13"/>
    <col width="18" customWidth="1" min="14" max="14"/>
    <col width="30" customWidth="1" min="15" max="15"/>
    <col width="20" customWidth="1" min="16" max="16"/>
    <col width="50" customWidth="1" min="18" max="18"/>
  </cols>
  <sheetData>
    <row r="1">
      <c r="A1" s="1" t="inlineStr">
        <is>
          <t>Donation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Donor Name</t>
        </is>
      </c>
      <c r="E1" s="1" t="inlineStr">
        <is>
          <t>Contact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Condition</t>
        </is>
      </c>
      <c r="K1" s="1" t="inlineStr">
        <is>
          <t>Priority</t>
        </is>
      </c>
      <c r="L1" s="1" t="inlineStr">
        <is>
          <t>Storage Location</t>
        </is>
      </c>
      <c r="M1" s="1" t="inlineStr">
        <is>
          <t>Status</t>
        </is>
      </c>
      <c r="N1" s="1" t="inlineStr">
        <is>
          <t>Days in Inventory</t>
        </is>
      </c>
      <c r="O1" s="1" t="inlineStr">
        <is>
          <t>Notes</t>
        </is>
      </c>
      <c r="P1" s="1" t="inlineStr">
        <is>
          <t>Volunteer Name</t>
        </is>
      </c>
      <c r="R1" s="2" t="inlineStr">
        <is>
          <t>INSTRUCTIONS</t>
        </is>
      </c>
    </row>
    <row r="2">
      <c r="A2" s="3" t="inlineStr">
        <is>
          <t>DON001</t>
        </is>
      </c>
      <c r="B2" s="4" t="inlineStr">
        <is>
          <t>2024-01-15</t>
        </is>
      </c>
      <c r="C2" s="4" t="inlineStr">
        <is>
          <t>09:30</t>
        </is>
      </c>
      <c r="D2" s="4" t="inlineStr">
        <is>
          <t>John Smith</t>
        </is>
      </c>
      <c r="E2" s="4" t="inlineStr">
        <is>
          <t>555-0101</t>
        </is>
      </c>
      <c r="F2" s="3" t="inlineStr">
        <is>
          <t>Clothing (Adult Male)</t>
        </is>
      </c>
      <c r="G2" s="4" t="inlineStr">
        <is>
          <t>Shirts</t>
        </is>
      </c>
      <c r="H2" s="4" t="n">
        <v>25</v>
      </c>
      <c r="I2" s="4" t="inlineStr">
        <is>
          <t>pieces</t>
        </is>
      </c>
      <c r="J2" s="3" t="inlineStr">
        <is>
          <t>Good</t>
        </is>
      </c>
      <c r="K2" s="3" t="inlineStr">
        <is>
          <t>Medium</t>
        </is>
      </c>
      <c r="L2" s="4" t="inlineStr">
        <is>
          <t>A-12</t>
        </is>
      </c>
      <c r="M2" s="3" t="inlineStr">
        <is>
          <t>Received</t>
        </is>
      </c>
      <c r="N2" s="3">
        <f>IF(L2="Dispatched","",TODAY()-B2)</f>
        <v/>
      </c>
      <c r="O2" s="4" t="inlineStr">
        <is>
          <t>Winter collection</t>
        </is>
      </c>
      <c r="P2" s="3" t="inlineStr">
        <is>
          <t>Sarah Johnson</t>
        </is>
      </c>
      <c r="R2" s="5" t="inlineStr">
        <is>
          <t>1. Enter new donations starting from row 2</t>
        </is>
      </c>
    </row>
    <row r="3">
      <c r="A3" s="3" t="inlineStr">
        <is>
          <t>DON002</t>
        </is>
      </c>
      <c r="B3" s="4" t="inlineStr">
        <is>
          <t>2024-01-15</t>
        </is>
      </c>
      <c r="C3" s="4" t="inlineStr">
        <is>
          <t>10:15</t>
        </is>
      </c>
      <c r="D3" s="4" t="inlineStr">
        <is>
          <t>Mary Johnson</t>
        </is>
      </c>
      <c r="E3" s="4" t="inlineStr">
        <is>
          <t>555-0102</t>
        </is>
      </c>
      <c r="F3" s="3" t="inlineStr">
        <is>
          <t>Food Items</t>
        </is>
      </c>
      <c r="G3" s="4" t="inlineStr">
        <is>
          <t>Canned Goods</t>
        </is>
      </c>
      <c r="H3" s="4" t="n">
        <v>50</v>
      </c>
      <c r="I3" s="4" t="inlineStr">
        <is>
          <t>cans</t>
        </is>
      </c>
      <c r="J3" s="3" t="inlineStr">
        <is>
          <t>New</t>
        </is>
      </c>
      <c r="K3" s="3" t="inlineStr">
        <is>
          <t>High</t>
        </is>
      </c>
      <c r="L3" s="4" t="inlineStr">
        <is>
          <t>B-05</t>
        </is>
      </c>
      <c r="M3" s="3" t="inlineStr">
        <is>
          <t>In Sorting</t>
        </is>
      </c>
      <c r="N3" s="3">
        <f>IF(L3="Dispatched","",TODAY()-B3)</f>
        <v/>
      </c>
      <c r="O3" s="4" t="inlineStr">
        <is>
          <t>Various vegetables</t>
        </is>
      </c>
      <c r="P3" s="3" t="inlineStr">
        <is>
          <t>Michael Chen</t>
        </is>
      </c>
      <c r="R3" s="5" t="inlineStr">
        <is>
          <t>2. Use dropdown menus for standardized fields:</t>
        </is>
      </c>
    </row>
    <row r="4">
      <c r="A4" s="3" t="inlineStr">
        <is>
          <t>DON003</t>
        </is>
      </c>
      <c r="B4" s="4" t="inlineStr">
        <is>
          <t>2024-01-16</t>
        </is>
      </c>
      <c r="C4" s="4" t="inlineStr">
        <is>
          <t>11:00</t>
        </is>
      </c>
      <c r="D4" s="4" t="inlineStr">
        <is>
          <t>Robert Davis</t>
        </is>
      </c>
      <c r="E4" s="4" t="inlineStr">
        <is>
          <t>555-0103</t>
        </is>
      </c>
      <c r="F4" s="3" t="inlineStr">
        <is>
          <t>Bedding/Linens</t>
        </is>
      </c>
      <c r="G4" s="4" t="inlineStr">
        <is>
          <t>Blankets</t>
        </is>
      </c>
      <c r="H4" s="4" t="n">
        <v>15</v>
      </c>
      <c r="I4" s="4" t="inlineStr">
        <is>
          <t>pieces</t>
        </is>
      </c>
      <c r="J4" s="3" t="inlineStr">
        <is>
          <t>Good</t>
        </is>
      </c>
      <c r="K4" s="3" t="inlineStr">
        <is>
          <t>Medium</t>
        </is>
      </c>
      <c r="L4" s="4" t="inlineStr">
        <is>
          <t>C-08</t>
        </is>
      </c>
      <c r="M4" s="3" t="inlineStr">
        <is>
          <t>Ready for Dispatch</t>
        </is>
      </c>
      <c r="N4" s="3">
        <f>IF(L4="Dispatched","",TODAY()-B4)</f>
        <v/>
      </c>
      <c r="O4" s="4" t="inlineStr">
        <is>
          <t>Clean and folded</t>
        </is>
      </c>
      <c r="P4" s="3" t="inlineStr">
        <is>
          <t>Emily Rodriguez</t>
        </is>
      </c>
      <c r="R4" s="5" t="inlineStr">
        <is>
          <t xml:space="preserve">   - Category, Condition, Priority, Status</t>
        </is>
      </c>
    </row>
    <row r="5">
      <c r="A5" s="3" t="inlineStr">
        <is>
          <t>DON004</t>
        </is>
      </c>
      <c r="B5" s="4" t="inlineStr">
        <is>
          <t>2024-01-16</t>
        </is>
      </c>
      <c r="C5" s="4" t="inlineStr">
        <is>
          <t>14:30</t>
        </is>
      </c>
      <c r="D5" s="4" t="inlineStr">
        <is>
          <t>Lisa Anderson</t>
        </is>
      </c>
      <c r="E5" s="4" t="inlineStr">
        <is>
          <t>555-0104</t>
        </is>
      </c>
      <c r="F5" s="3" t="inlineStr">
        <is>
          <t>Toiletries/Hygiene</t>
        </is>
      </c>
      <c r="G5" s="4" t="inlineStr">
        <is>
          <t>Soap/Shampoo</t>
        </is>
      </c>
      <c r="H5" s="4" t="n">
        <v>100</v>
      </c>
      <c r="I5" s="4" t="inlineStr">
        <is>
          <t>pieces</t>
        </is>
      </c>
      <c r="J5" s="3" t="inlineStr">
        <is>
          <t>New</t>
        </is>
      </c>
      <c r="K5" s="3" t="inlineStr">
        <is>
          <t>High</t>
        </is>
      </c>
      <c r="L5" s="4" t="inlineStr">
        <is>
          <t>D-03</t>
        </is>
      </c>
      <c r="M5" s="3" t="inlineStr">
        <is>
          <t>In Sorting</t>
        </is>
      </c>
      <c r="N5" s="3">
        <f>IF(L5="Dispatched","",TODAY()-B5)</f>
        <v/>
      </c>
      <c r="O5" s="4" t="inlineStr">
        <is>
          <t>Sealed packages</t>
        </is>
      </c>
      <c r="P5" s="3" t="inlineStr">
        <is>
          <t>David Kim</t>
        </is>
      </c>
      <c r="R5" s="5" t="inlineStr">
        <is>
          <t>3. Status options:</t>
        </is>
      </c>
    </row>
    <row r="6">
      <c r="A6" s="3" t="inlineStr">
        <is>
          <t>DON005</t>
        </is>
      </c>
      <c r="B6" s="4" t="inlineStr">
        <is>
          <t>2024-01-17</t>
        </is>
      </c>
      <c r="C6" s="4" t="inlineStr">
        <is>
          <t>09:00</t>
        </is>
      </c>
      <c r="D6" s="4" t="inlineStr">
        <is>
          <t>James Wilson</t>
        </is>
      </c>
      <c r="E6" s="4" t="inlineStr">
        <is>
          <t>555-0105</t>
        </is>
      </c>
      <c r="F6" s="3" t="inlineStr">
        <is>
          <t>Clothing (Children)</t>
        </is>
      </c>
      <c r="G6" s="4" t="inlineStr">
        <is>
          <t>Winter Coats</t>
        </is>
      </c>
      <c r="H6" s="4" t="n">
        <v>20</v>
      </c>
      <c r="I6" s="4" t="inlineStr">
        <is>
          <t>pieces</t>
        </is>
      </c>
      <c r="J6" s="3" t="inlineStr">
        <is>
          <t>Good</t>
        </is>
      </c>
      <c r="K6" s="3" t="inlineStr">
        <is>
          <t>High</t>
        </is>
      </c>
      <c r="L6" s="4" t="inlineStr">
        <is>
          <t>A-15</t>
        </is>
      </c>
      <c r="M6" s="3" t="inlineStr">
        <is>
          <t>Ready for Dispatch</t>
        </is>
      </c>
      <c r="N6" s="3">
        <f>IF(L6="Dispatched","",TODAY()-B6)</f>
        <v/>
      </c>
      <c r="O6" s="4" t="inlineStr">
        <is>
          <t>Various sizes</t>
        </is>
      </c>
      <c r="P6" s="3" t="inlineStr">
        <is>
          <t>Sarah Johnson</t>
        </is>
      </c>
      <c r="R6" s="5" t="inlineStr">
        <is>
          <t xml:space="preserve">   - Received: Just arrived</t>
        </is>
      </c>
    </row>
    <row r="7">
      <c r="A7" s="3" t="inlineStr">
        <is>
          <t>DON006</t>
        </is>
      </c>
      <c r="B7" s="4" t="inlineStr">
        <is>
          <t>2024-01-17</t>
        </is>
      </c>
      <c r="C7" s="4" t="inlineStr">
        <is>
          <t>13:45</t>
        </is>
      </c>
      <c r="D7" s="4" t="inlineStr">
        <is>
          <t>Patricia Brown</t>
        </is>
      </c>
      <c r="E7" s="4" t="inlineStr">
        <is>
          <t>555-0106</t>
        </is>
      </c>
      <c r="F7" s="3" t="inlineStr">
        <is>
          <t>Kitchenware</t>
        </is>
      </c>
      <c r="G7" s="4" t="inlineStr">
        <is>
          <t>Pots/Pans</t>
        </is>
      </c>
      <c r="H7" s="4" t="n">
        <v>12</v>
      </c>
      <c r="I7" s="4" t="inlineStr">
        <is>
          <t>pieces</t>
        </is>
      </c>
      <c r="J7" s="3" t="inlineStr">
        <is>
          <t>Fair</t>
        </is>
      </c>
      <c r="K7" s="3" t="inlineStr">
        <is>
          <t>Low</t>
        </is>
      </c>
      <c r="L7" s="4" t="inlineStr">
        <is>
          <t>E-07</t>
        </is>
      </c>
      <c r="M7" s="3" t="inlineStr">
        <is>
          <t>Received</t>
        </is>
      </c>
      <c r="N7" s="3">
        <f>IF(L7="Dispatched","",TODAY()-B7)</f>
        <v/>
      </c>
      <c r="O7" s="4" t="inlineStr">
        <is>
          <t>Some wear visible</t>
        </is>
      </c>
      <c r="P7" s="3" t="inlineStr">
        <is>
          <t>Michael Chen</t>
        </is>
      </c>
      <c r="R7" s="5" t="inlineStr">
        <is>
          <t xml:space="preserve">   - In Sorting: Being processed</t>
        </is>
      </c>
    </row>
    <row r="8">
      <c r="A8" s="3" t="inlineStr">
        <is>
          <t>DON007</t>
        </is>
      </c>
      <c r="B8" s="4" t="inlineStr">
        <is>
          <t>2024-01-18</t>
        </is>
      </c>
      <c r="C8" s="4" t="inlineStr">
        <is>
          <t>10:30</t>
        </is>
      </c>
      <c r="D8" s="4" t="inlineStr">
        <is>
          <t>Michael Taylor</t>
        </is>
      </c>
      <c r="E8" s="4" t="inlineStr">
        <is>
          <t>555-0107</t>
        </is>
      </c>
      <c r="F8" s="3" t="inlineStr">
        <is>
          <t>Baby Supplies</t>
        </is>
      </c>
      <c r="G8" s="4" t="inlineStr">
        <is>
          <t>Diapers</t>
        </is>
      </c>
      <c r="H8" s="4" t="n">
        <v>8</v>
      </c>
      <c r="I8" s="4" t="inlineStr">
        <is>
          <t>boxes</t>
        </is>
      </c>
      <c r="J8" s="3" t="inlineStr">
        <is>
          <t>New</t>
        </is>
      </c>
      <c r="K8" s="3" t="inlineStr">
        <is>
          <t>High</t>
        </is>
      </c>
      <c r="L8" s="4" t="inlineStr">
        <is>
          <t>F-02</t>
        </is>
      </c>
      <c r="M8" s="3" t="inlineStr">
        <is>
          <t>In Sorting</t>
        </is>
      </c>
      <c r="N8" s="3">
        <f>IF(L8="Dispatched","",TODAY()-B8)</f>
        <v/>
      </c>
      <c r="O8" s="4" t="inlineStr">
        <is>
          <t>Size 3-5</t>
        </is>
      </c>
      <c r="P8" s="3" t="inlineStr">
        <is>
          <t>Emily Rodriguez</t>
        </is>
      </c>
      <c r="R8" s="5" t="inlineStr">
        <is>
          <t xml:space="preserve">   - Ready for Dispatch: Available for pickup</t>
        </is>
      </c>
    </row>
    <row r="9">
      <c r="A9" s="3" t="inlineStr">
        <is>
          <t>DON008</t>
        </is>
      </c>
      <c r="B9" s="4" t="inlineStr">
        <is>
          <t>2024-01-18</t>
        </is>
      </c>
      <c r="C9" s="4" t="inlineStr">
        <is>
          <t>15:00</t>
        </is>
      </c>
      <c r="D9" s="4" t="inlineStr">
        <is>
          <t>Jennifer Lee</t>
        </is>
      </c>
      <c r="E9" s="4" t="inlineStr">
        <is>
          <t>555-0108</t>
        </is>
      </c>
      <c r="F9" s="3" t="inlineStr">
        <is>
          <t>Electronics</t>
        </is>
      </c>
      <c r="G9" s="4" t="inlineStr">
        <is>
          <t>Laptops</t>
        </is>
      </c>
      <c r="H9" s="4" t="n">
        <v>3</v>
      </c>
      <c r="I9" s="4" t="inlineStr">
        <is>
          <t>pieces</t>
        </is>
      </c>
      <c r="J9" s="3" t="inlineStr">
        <is>
          <t>Good</t>
        </is>
      </c>
      <c r="K9" s="3" t="inlineStr">
        <is>
          <t>Medium</t>
        </is>
      </c>
      <c r="L9" s="4" t="inlineStr">
        <is>
          <t>G-01</t>
        </is>
      </c>
      <c r="M9" s="3" t="inlineStr">
        <is>
          <t>Received</t>
        </is>
      </c>
      <c r="N9" s="3">
        <f>IF(L9="Dispatched","",TODAY()-B9)</f>
        <v/>
      </c>
      <c r="O9" s="4" t="inlineStr">
        <is>
          <t>Tested working</t>
        </is>
      </c>
      <c r="P9" s="3" t="inlineStr">
        <is>
          <t>David Kim</t>
        </is>
      </c>
      <c r="R9" s="5" t="inlineStr">
        <is>
          <t xml:space="preserve">   - Dispatched: Already delivered</t>
        </is>
      </c>
    </row>
    <row r="10">
      <c r="A10" s="3" t="inlineStr">
        <is>
          <t>DON009</t>
        </is>
      </c>
      <c r="B10" s="4" t="inlineStr">
        <is>
          <t>2024-01-19</t>
        </is>
      </c>
      <c r="C10" s="4" t="inlineStr">
        <is>
          <t>09:45</t>
        </is>
      </c>
      <c r="D10" s="4" t="inlineStr">
        <is>
          <t>David Martinez</t>
        </is>
      </c>
      <c r="E10" s="4" t="inlineStr">
        <is>
          <t>555-0109</t>
        </is>
      </c>
      <c r="F10" s="3" t="inlineStr">
        <is>
          <t>Shoes/Footwear</t>
        </is>
      </c>
      <c r="G10" s="4" t="inlineStr">
        <is>
          <t>Sneakers</t>
        </is>
      </c>
      <c r="H10" s="4" t="n">
        <v>18</v>
      </c>
      <c r="I10" s="4" t="inlineStr">
        <is>
          <t>pairs</t>
        </is>
      </c>
      <c r="J10" s="3" t="inlineStr">
        <is>
          <t>Good</t>
        </is>
      </c>
      <c r="K10" s="3" t="inlineStr">
        <is>
          <t>Medium</t>
        </is>
      </c>
      <c r="L10" s="4" t="inlineStr">
        <is>
          <t>H-04</t>
        </is>
      </c>
      <c r="M10" s="3" t="inlineStr">
        <is>
          <t>Ready for Dispatch</t>
        </is>
      </c>
      <c r="N10" s="3">
        <f>IF(L10="Dispatched","",TODAY()-B10)</f>
        <v/>
      </c>
      <c r="O10" s="4" t="inlineStr">
        <is>
          <t>Adult sizes</t>
        </is>
      </c>
      <c r="P10" s="3" t="inlineStr">
        <is>
          <t>Sarah Johnson</t>
        </is>
      </c>
      <c r="R10" s="5" t="inlineStr">
        <is>
          <t>4. Days in Inventory auto-calculates</t>
        </is>
      </c>
    </row>
    <row r="11">
      <c r="A11" s="3" t="inlineStr">
        <is>
          <t>DON010</t>
        </is>
      </c>
      <c r="B11" s="4" t="inlineStr">
        <is>
          <t>2024-01-19</t>
        </is>
      </c>
      <c r="C11" s="4" t="inlineStr">
        <is>
          <t>11:30</t>
        </is>
      </c>
      <c r="D11" s="4" t="inlineStr">
        <is>
          <t>Susan Clark</t>
        </is>
      </c>
      <c r="E11" s="4" t="inlineStr">
        <is>
          <t>555-0110</t>
        </is>
      </c>
      <c r="F11" s="3" t="inlineStr">
        <is>
          <t>Household Items</t>
        </is>
      </c>
      <c r="G11" s="4" t="inlineStr">
        <is>
          <t>Lamps</t>
        </is>
      </c>
      <c r="H11" s="4" t="n">
        <v>6</v>
      </c>
      <c r="I11" s="4" t="inlineStr">
        <is>
          <t>pieces</t>
        </is>
      </c>
      <c r="J11" s="3" t="inlineStr">
        <is>
          <t>Fair</t>
        </is>
      </c>
      <c r="K11" s="3" t="inlineStr">
        <is>
          <t>Low</t>
        </is>
      </c>
      <c r="L11" s="4" t="inlineStr">
        <is>
          <t>I-09</t>
        </is>
      </c>
      <c r="M11" s="3" t="inlineStr">
        <is>
          <t>In Sorting</t>
        </is>
      </c>
      <c r="N11" s="3">
        <f>IF(L11="Dispatched","",TODAY()-B11)</f>
        <v/>
      </c>
      <c r="O11" s="4" t="inlineStr">
        <is>
          <t>Needs testing</t>
        </is>
      </c>
      <c r="P11" s="3" t="inlineStr">
        <is>
          <t>Michael Chen</t>
        </is>
      </c>
      <c r="R11" s="5" t="inlineStr">
        <is>
          <t>5. Highlighted rows:</t>
        </is>
      </c>
    </row>
    <row r="12">
      <c r="A12" s="3" t="inlineStr">
        <is>
          <t>DON011</t>
        </is>
      </c>
      <c r="B12" s="4" t="inlineStr">
        <is>
          <t>2024-01-20</t>
        </is>
      </c>
      <c r="C12" s="4" t="inlineStr">
        <is>
          <t>08:15</t>
        </is>
      </c>
      <c r="D12" s="4" t="inlineStr">
        <is>
          <t>Thomas Wright</t>
        </is>
      </c>
      <c r="E12" s="4" t="inlineStr">
        <is>
          <t>555-0111</t>
        </is>
      </c>
      <c r="F12" s="3" t="inlineStr">
        <is>
          <t>Clothing (Adult Female)</t>
        </is>
      </c>
      <c r="G12" s="4" t="inlineStr">
        <is>
          <t>Dresses</t>
        </is>
      </c>
      <c r="H12" s="4" t="n">
        <v>30</v>
      </c>
      <c r="I12" s="4" t="inlineStr">
        <is>
          <t>pieces</t>
        </is>
      </c>
      <c r="J12" s="3" t="inlineStr">
        <is>
          <t>Good</t>
        </is>
      </c>
      <c r="K12" s="3" t="inlineStr">
        <is>
          <t>Medium</t>
        </is>
      </c>
      <c r="L12" s="4" t="inlineStr">
        <is>
          <t>A-18</t>
        </is>
      </c>
      <c r="M12" s="3" t="inlineStr">
        <is>
          <t>Received</t>
        </is>
      </c>
      <c r="N12" s="3">
        <f>IF(L12="Dispatched","",TODAY()-B12)</f>
        <v/>
      </c>
      <c r="O12" s="4" t="inlineStr">
        <is>
          <t>Formal wear</t>
        </is>
      </c>
      <c r="P12" s="3" t="inlineStr">
        <is>
          <t>Emily Rodriguez</t>
        </is>
      </c>
      <c r="R12" s="5" t="inlineStr">
        <is>
          <t xml:space="preserve">   - Green = Ready for Dispatch</t>
        </is>
      </c>
    </row>
    <row r="13">
      <c r="A13" s="3" t="inlineStr">
        <is>
          <t>DON012</t>
        </is>
      </c>
      <c r="B13" s="4" t="inlineStr">
        <is>
          <t>2024-01-20</t>
        </is>
      </c>
      <c r="C13" s="4" t="inlineStr">
        <is>
          <t>14:00</t>
        </is>
      </c>
      <c r="D13" s="4" t="inlineStr">
        <is>
          <t>Karen White</t>
        </is>
      </c>
      <c r="E13" s="4" t="inlineStr">
        <is>
          <t>555-0112</t>
        </is>
      </c>
      <c r="F13" s="3" t="inlineStr">
        <is>
          <t>Food Items</t>
        </is>
      </c>
      <c r="G13" s="4" t="inlineStr">
        <is>
          <t>Rice/Pasta</t>
        </is>
      </c>
      <c r="H13" s="4" t="n">
        <v>40</v>
      </c>
      <c r="I13" s="4" t="inlineStr">
        <is>
          <t>kg</t>
        </is>
      </c>
      <c r="J13" s="3" t="inlineStr">
        <is>
          <t>New</t>
        </is>
      </c>
      <c r="K13" s="3" t="inlineStr">
        <is>
          <t>High</t>
        </is>
      </c>
      <c r="L13" s="4" t="inlineStr">
        <is>
          <t>B-06</t>
        </is>
      </c>
      <c r="M13" s="3" t="inlineStr">
        <is>
          <t>Ready for Dispatch</t>
        </is>
      </c>
      <c r="N13" s="3">
        <f>IF(L13="Dispatched","",TODAY()-B13)</f>
        <v/>
      </c>
      <c r="O13" s="4" t="inlineStr">
        <is>
          <t>Sealed bags</t>
        </is>
      </c>
      <c r="P13" s="3" t="inlineStr">
        <is>
          <t>David Kim</t>
        </is>
      </c>
      <c r="R13" s="5" t="inlineStr">
        <is>
          <t xml:space="preserve">   - Yellow = In Sorting</t>
        </is>
      </c>
    </row>
    <row r="14">
      <c r="A14" s="3" t="inlineStr">
        <is>
          <t>DON013</t>
        </is>
      </c>
      <c r="B14" s="4" t="inlineStr">
        <is>
          <t>2024-01-21</t>
        </is>
      </c>
      <c r="C14" s="4" t="inlineStr">
        <is>
          <t>10:00</t>
        </is>
      </c>
      <c r="D14" s="4" t="inlineStr">
        <is>
          <t>Christopher Hall</t>
        </is>
      </c>
      <c r="E14" s="4" t="inlineStr">
        <is>
          <t>555-0113</t>
        </is>
      </c>
      <c r="F14" s="3" t="inlineStr">
        <is>
          <t>Toiletries/Hygiene</t>
        </is>
      </c>
      <c r="G14" s="4" t="inlineStr">
        <is>
          <t>Toothbrushes</t>
        </is>
      </c>
      <c r="H14" s="4" t="n">
        <v>200</v>
      </c>
      <c r="I14" s="4" t="inlineStr">
        <is>
          <t>pieces</t>
        </is>
      </c>
      <c r="J14" s="3" t="inlineStr">
        <is>
          <t>New</t>
        </is>
      </c>
      <c r="K14" s="3" t="inlineStr">
        <is>
          <t>High</t>
        </is>
      </c>
      <c r="L14" s="4" t="inlineStr">
        <is>
          <t>D-04</t>
        </is>
      </c>
      <c r="M14" s="3" t="inlineStr">
        <is>
          <t>In Sorting</t>
        </is>
      </c>
      <c r="N14" s="3">
        <f>IF(L14="Dispatched","",TODAY()-B14)</f>
        <v/>
      </c>
      <c r="O14" s="4" t="inlineStr">
        <is>
          <t>Bulk donation</t>
        </is>
      </c>
      <c r="P14" s="3" t="inlineStr">
        <is>
          <t>Sarah Johnson</t>
        </is>
      </c>
      <c r="R14" s="5" t="inlineStr">
        <is>
          <t xml:space="preserve">   - Red = In Sorting &gt;7 days (overdue)</t>
        </is>
      </c>
    </row>
    <row r="15">
      <c r="A15" s="3" t="inlineStr">
        <is>
          <t>DON014</t>
        </is>
      </c>
      <c r="B15" s="4" t="inlineStr">
        <is>
          <t>2024-01-21</t>
        </is>
      </c>
      <c r="C15" s="4" t="inlineStr">
        <is>
          <t>16:30</t>
        </is>
      </c>
      <c r="D15" s="4" t="inlineStr">
        <is>
          <t>Amanda Young</t>
        </is>
      </c>
      <c r="E15" s="4" t="inlineStr">
        <is>
          <t>555-0114</t>
        </is>
      </c>
      <c r="F15" s="3" t="inlineStr">
        <is>
          <t>Miscellaneous</t>
        </is>
      </c>
      <c r="G15" s="4" t="inlineStr">
        <is>
          <t>Books</t>
        </is>
      </c>
      <c r="H15" s="4" t="n">
        <v>75</v>
      </c>
      <c r="I15" s="4" t="inlineStr">
        <is>
          <t>pieces</t>
        </is>
      </c>
      <c r="J15" s="3" t="inlineStr">
        <is>
          <t>Good</t>
        </is>
      </c>
      <c r="K15" s="3" t="inlineStr">
        <is>
          <t>Low</t>
        </is>
      </c>
      <c r="L15" s="4" t="inlineStr">
        <is>
          <t>J-10</t>
        </is>
      </c>
      <c r="M15" s="3" t="inlineStr">
        <is>
          <t>Received</t>
        </is>
      </c>
      <c r="N15" s="3">
        <f>IF(L15="Dispatched","",TODAY()-B15)</f>
        <v/>
      </c>
      <c r="O15" s="4" t="inlineStr">
        <is>
          <t>Various genres</t>
        </is>
      </c>
      <c r="P15" s="3" t="inlineStr">
        <is>
          <t>Michael Chen</t>
        </is>
      </c>
      <c r="R15" s="5" t="inlineStr">
        <is>
          <t>6. High Priority items have light red tint</t>
        </is>
      </c>
    </row>
    <row r="16">
      <c r="A16" s="3" t="inlineStr">
        <is>
          <t>DON015</t>
        </is>
      </c>
      <c r="B16" s="4" t="inlineStr">
        <is>
          <t>2024-01-22</t>
        </is>
      </c>
      <c r="C16" s="4" t="inlineStr">
        <is>
          <t>09:30</t>
        </is>
      </c>
      <c r="D16" s="4" t="inlineStr">
        <is>
          <t>Daniel Lewis</t>
        </is>
      </c>
      <c r="E16" s="4" t="inlineStr">
        <is>
          <t>555-0115</t>
        </is>
      </c>
      <c r="F16" s="3" t="inlineStr">
        <is>
          <t>Baby Supplies</t>
        </is>
      </c>
      <c r="G16" s="4" t="inlineStr">
        <is>
          <t>Formula</t>
        </is>
      </c>
      <c r="H16" s="4" t="n">
        <v>24</v>
      </c>
      <c r="I16" s="4" t="inlineStr">
        <is>
          <t>cans</t>
        </is>
      </c>
      <c r="J16" s="3" t="inlineStr">
        <is>
          <t>New</t>
        </is>
      </c>
      <c r="K16" s="3" t="inlineStr">
        <is>
          <t>High</t>
        </is>
      </c>
      <c r="L16" s="4" t="inlineStr">
        <is>
          <t>F-03</t>
        </is>
      </c>
      <c r="M16" s="3" t="inlineStr">
        <is>
          <t>In Sorting</t>
        </is>
      </c>
      <c r="N16" s="3">
        <f>IF(L16="Dispatched","",TODAY()-B16)</f>
        <v/>
      </c>
      <c r="O16" s="4" t="inlineStr">
        <is>
          <t>Not expired</t>
        </is>
      </c>
      <c r="P16" s="3" t="inlineStr">
        <is>
          <t>Emily Rodriguez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conditionalFormatting sqref="A2:P1000">
    <cfRule type="expression" priority="1" dxfId="0">
      <formula>$M2="Ready for Dispatch"</formula>
    </cfRule>
    <cfRule type="expression" priority="2" dxfId="1">
      <formula>$M2="In Sorting"</formula>
    </cfRule>
    <cfRule type="expression" priority="3" dxfId="2">
      <formula>AND($M2="In Sorting",$N2&gt;7)</formula>
    </cfRule>
    <cfRule type="expression" priority="4" dxfId="3">
      <formula>$K2="High"</formula>
    </cfRule>
  </conditionalFormatting>
  <dataValidations count="5">
    <dataValidation sqref="F2:F1000" showDropDown="0" showInputMessage="0" showErrorMessage="0" allowBlank="1" errorTitle="Invalid Category" error="Please select a valid category" promptTitle="Category" prompt="Select a category" type="list">
      <formula1>"Clothing (Adult Male),Clothing (Adult Female),Clothing (Children),Shoes/Footwear,Household Items,Kitchenware,Bedding/Linens,Toiletries/Hygiene,Food Items,Baby Supplies,Electronics,Miscellaneous"</formula1>
    </dataValidation>
    <dataValidation sqref="J2:J1000" showDropDown="0" showInputMessage="0" showErrorMessage="0" allowBlank="1" errorTitle="Invalid Condition" error="Please select a valid condition" type="list">
      <formula1>"New,Good,Fair,Unsuitable"</formula1>
    </dataValidation>
    <dataValidation sqref="K2:K1000" showDropDown="0" showInputMessage="0" showErrorMessage="0" allowBlank="1" errorTitle="Invalid Priority" error="Please select a valid priority" type="list">
      <formula1>"High,Medium,Low"</formula1>
    </dataValidation>
    <dataValidation sqref="M2:M1000" showDropDown="0" showInputMessage="0" showErrorMessage="0" allowBlank="1" errorTitle="Invalid Status" error="Please select a valid status" type="list">
      <formula1>"Received,In Sorting,Ready for Dispatch,Dispatched"</formula1>
    </dataValidation>
    <dataValidation sqref="P2:P1000" showDropDown="0" showInputMessage="0" showErrorMessage="0" allowBlank="1" errorTitle="Invalid Volunteer" error="Please select a valid volunteer" type="list">
      <formula1>"Sarah Johnson,Michael Chen,Emily Rodriguez,David Kim,James Wilson,Maria Garcia,Robert Brown,Jennifer Lee,Thomas Martinez"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0" customWidth="1" min="4" max="4"/>
    <col width="12" customWidth="1" min="5" max="5"/>
    <col width="18" customWidth="1" min="6" max="6"/>
    <col width="20" customWidth="1" min="7" max="7"/>
    <col width="12" customWidth="1" min="8" max="8"/>
    <col width="25" customWidth="1" min="9" max="9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Total Quantity</t>
        </is>
      </c>
      <c r="D1" s="1" t="inlineStr">
        <is>
          <t>Unit</t>
        </is>
      </c>
      <c r="E1" s="1" t="inlineStr">
        <is>
          <t>Status</t>
        </is>
      </c>
      <c r="F1" s="1" t="inlineStr">
        <is>
          <t>Days in Inventory</t>
        </is>
      </c>
      <c r="G1" s="1" t="inlineStr">
        <is>
          <t>Storage Location</t>
        </is>
      </c>
      <c r="H1" s="1" t="inlineStr">
        <is>
          <t>Stock Level</t>
        </is>
      </c>
      <c r="I1" s="1" t="inlineStr">
        <is>
          <t>Notes</t>
        </is>
      </c>
    </row>
    <row r="2">
      <c r="A2" s="4" t="inlineStr">
        <is>
          <t>Clothing (Adult Male)</t>
        </is>
      </c>
      <c r="B2" s="3" t="inlineStr"/>
      <c r="C2" s="3">
        <f>SUMIFS('Intake Log'!H:H,'Intake Log'!F:F,"Clothing (Adult Male)",'Intake Log'!M:M,"&lt;&gt;Dispatched")</f>
        <v/>
      </c>
      <c r="D2" s="3" t="inlineStr">
        <is>
          <t>pieces</t>
        </is>
      </c>
      <c r="E2" s="3" t="inlineStr">
        <is>
          <t>Various</t>
        </is>
      </c>
      <c r="F2" s="6">
        <f>IFERROR(AVERAGEIFS('Intake Log'!N:N,'Intake Log'!F:F,"Clothing (Adult Male)",'Intake Log'!M:M,"&lt;&gt;Dispatched"),0)</f>
        <v/>
      </c>
      <c r="G2" s="3" t="inlineStr">
        <is>
          <t>A-12, A-18</t>
        </is>
      </c>
      <c r="H2" s="3">
        <f>IF(C2=0,"Out of Stock",IF(C2&lt;10,"Low",IF(C2&lt;50,"Medium","Good")))</f>
        <v/>
      </c>
      <c r="I2" s="3" t="n"/>
    </row>
    <row r="3">
      <c r="A3" s="4" t="inlineStr">
        <is>
          <t>Clothing (Adult Female)</t>
        </is>
      </c>
      <c r="B3" s="3" t="inlineStr"/>
      <c r="C3" s="3">
        <f>SUMIFS('Intake Log'!H:H,'Intake Log'!F:F,"Clothing (Adult Female)",'Intake Log'!M:M,"&lt;&gt;Dispatched")</f>
        <v/>
      </c>
      <c r="D3" s="3" t="inlineStr">
        <is>
          <t>pieces</t>
        </is>
      </c>
      <c r="E3" s="3" t="inlineStr">
        <is>
          <t>Various</t>
        </is>
      </c>
      <c r="F3" s="6">
        <f>IFERROR(AVERAGEIFS('Intake Log'!N:N,'Intake Log'!F:F,"Clothing (Adult Female)",'Intake Log'!M:M,"&lt;&gt;Dispatched"),0)</f>
        <v/>
      </c>
      <c r="G3" s="3" t="inlineStr">
        <is>
          <t>A-18</t>
        </is>
      </c>
      <c r="H3" s="3">
        <f>IF(C3=0,"Out of Stock",IF(C3&lt;10,"Low",IF(C3&lt;50,"Medium","Good")))</f>
        <v/>
      </c>
      <c r="I3" s="3" t="n"/>
    </row>
    <row r="4">
      <c r="A4" s="4" t="inlineStr">
        <is>
          <t>Clothing (Children)</t>
        </is>
      </c>
      <c r="B4" s="3" t="inlineStr"/>
      <c r="C4" s="3">
        <f>SUMIFS('Intake Log'!H:H,'Intake Log'!F:F,"Clothing (Children)",'Intake Log'!M:M,"&lt;&gt;Dispatched")</f>
        <v/>
      </c>
      <c r="D4" s="3" t="inlineStr">
        <is>
          <t>pieces</t>
        </is>
      </c>
      <c r="E4" s="3" t="inlineStr">
        <is>
          <t>Various</t>
        </is>
      </c>
      <c r="F4" s="6">
        <f>IFERROR(AVERAGEIFS('Intake Log'!N:N,'Intake Log'!F:F,"Clothing (Children)",'Intake Log'!M:M,"&lt;&gt;Dispatched"),0)</f>
        <v/>
      </c>
      <c r="G4" s="3" t="inlineStr">
        <is>
          <t>A-15</t>
        </is>
      </c>
      <c r="H4" s="3">
        <f>IF(C4=0,"Out of Stock",IF(C4&lt;10,"Low",IF(C4&lt;50,"Medium","Good")))</f>
        <v/>
      </c>
      <c r="I4" s="3" t="n"/>
    </row>
    <row r="5">
      <c r="A5" s="4" t="inlineStr">
        <is>
          <t>Shoes/Footwear</t>
        </is>
      </c>
      <c r="B5" s="3" t="inlineStr"/>
      <c r="C5" s="3">
        <f>SUMIFS('Intake Log'!H:H,'Intake Log'!F:F,"Shoes/Footwear",'Intake Log'!M:M,"&lt;&gt;Dispatched")</f>
        <v/>
      </c>
      <c r="D5" s="3" t="inlineStr">
        <is>
          <t>pairs</t>
        </is>
      </c>
      <c r="E5" s="3" t="inlineStr">
        <is>
          <t>Various</t>
        </is>
      </c>
      <c r="F5" s="6">
        <f>IFERROR(AVERAGEIFS('Intake Log'!N:N,'Intake Log'!F:F,"Shoes/Footwear",'Intake Log'!M:M,"&lt;&gt;Dispatched"),0)</f>
        <v/>
      </c>
      <c r="G5" s="3" t="inlineStr">
        <is>
          <t>H-04</t>
        </is>
      </c>
      <c r="H5" s="3">
        <f>IF(C5=0,"Out of Stock",IF(C5&lt;10,"Low",IF(C5&lt;50,"Medium","Good")))</f>
        <v/>
      </c>
      <c r="I5" s="3" t="n"/>
    </row>
    <row r="6">
      <c r="A6" s="4" t="inlineStr">
        <is>
          <t>Household Items</t>
        </is>
      </c>
      <c r="B6" s="3" t="inlineStr"/>
      <c r="C6" s="3">
        <f>SUMIFS('Intake Log'!H:H,'Intake Log'!F:F,"Household Items",'Intake Log'!M:M,"&lt;&gt;Dispatched")</f>
        <v/>
      </c>
      <c r="D6" s="3" t="inlineStr">
        <is>
          <t>pieces</t>
        </is>
      </c>
      <c r="E6" s="3" t="inlineStr">
        <is>
          <t>Various</t>
        </is>
      </c>
      <c r="F6" s="6">
        <f>IFERROR(AVERAGEIFS('Intake Log'!N:N,'Intake Log'!F:F,"Household Items",'Intake Log'!M:M,"&lt;&gt;Dispatched"),0)</f>
        <v/>
      </c>
      <c r="G6" s="3" t="inlineStr">
        <is>
          <t>I-09</t>
        </is>
      </c>
      <c r="H6" s="3">
        <f>IF(C6=0,"Out of Stock",IF(C6&lt;10,"Low",IF(C6&lt;50,"Medium","Good")))</f>
        <v/>
      </c>
      <c r="I6" s="3" t="n"/>
    </row>
    <row r="7">
      <c r="A7" s="4" t="inlineStr">
        <is>
          <t>Kitchenware</t>
        </is>
      </c>
      <c r="B7" s="3" t="inlineStr"/>
      <c r="C7" s="3">
        <f>SUMIFS('Intake Log'!H:H,'Intake Log'!F:F,"Kitchenware",'Intake Log'!M:M,"&lt;&gt;Dispatched")</f>
        <v/>
      </c>
      <c r="D7" s="3" t="inlineStr">
        <is>
          <t>pieces</t>
        </is>
      </c>
      <c r="E7" s="3" t="inlineStr">
        <is>
          <t>Various</t>
        </is>
      </c>
      <c r="F7" s="6">
        <f>IFERROR(AVERAGEIFS('Intake Log'!N:N,'Intake Log'!F:F,"Kitchenware",'Intake Log'!M:M,"&lt;&gt;Dispatched"),0)</f>
        <v/>
      </c>
      <c r="G7" s="3" t="inlineStr">
        <is>
          <t>E-07</t>
        </is>
      </c>
      <c r="H7" s="3">
        <f>IF(C7=0,"Out of Stock",IF(C7&lt;10,"Low",IF(C7&lt;50,"Medium","Good")))</f>
        <v/>
      </c>
      <c r="I7" s="3" t="n"/>
    </row>
    <row r="8">
      <c r="A8" s="4" t="inlineStr">
        <is>
          <t>Bedding/Linens</t>
        </is>
      </c>
      <c r="B8" s="3" t="inlineStr"/>
      <c r="C8" s="3">
        <f>SUMIFS('Intake Log'!H:H,'Intake Log'!F:F,"Bedding/Linens",'Intake Log'!M:M,"&lt;&gt;Dispatched")</f>
        <v/>
      </c>
      <c r="D8" s="3" t="inlineStr">
        <is>
          <t>pieces</t>
        </is>
      </c>
      <c r="E8" s="3" t="inlineStr">
        <is>
          <t>Various</t>
        </is>
      </c>
      <c r="F8" s="6">
        <f>IFERROR(AVERAGEIFS('Intake Log'!N:N,'Intake Log'!F:F,"Bedding/Linens",'Intake Log'!M:M,"&lt;&gt;Dispatched"),0)</f>
        <v/>
      </c>
      <c r="G8" s="3" t="inlineStr">
        <is>
          <t>C-08</t>
        </is>
      </c>
      <c r="H8" s="3">
        <f>IF(C8=0,"Out of Stock",IF(C8&lt;10,"Low",IF(C8&lt;50,"Medium","Good")))</f>
        <v/>
      </c>
      <c r="I8" s="3" t="n"/>
    </row>
    <row r="9">
      <c r="A9" s="4" t="inlineStr">
        <is>
          <t>Toiletries/Hygiene</t>
        </is>
      </c>
      <c r="B9" s="3" t="inlineStr"/>
      <c r="C9" s="3">
        <f>SUMIFS('Intake Log'!H:H,'Intake Log'!F:F,"Toiletries/Hygiene",'Intake Log'!M:M,"&lt;&gt;Dispatched")</f>
        <v/>
      </c>
      <c r="D9" s="3" t="inlineStr">
        <is>
          <t>pieces</t>
        </is>
      </c>
      <c r="E9" s="3" t="inlineStr">
        <is>
          <t>Various</t>
        </is>
      </c>
      <c r="F9" s="6">
        <f>IFERROR(AVERAGEIFS('Intake Log'!N:N,'Intake Log'!F:F,"Toiletries/Hygiene",'Intake Log'!M:M,"&lt;&gt;Dispatched"),0)</f>
        <v/>
      </c>
      <c r="G9" s="3" t="inlineStr">
        <is>
          <t>D-03, D-04</t>
        </is>
      </c>
      <c r="H9" s="3">
        <f>IF(C9=0,"Out of Stock",IF(C9&lt;10,"Low",IF(C9&lt;50,"Medium","Good")))</f>
        <v/>
      </c>
      <c r="I9" s="3" t="n"/>
    </row>
    <row r="10">
      <c r="A10" s="4" t="inlineStr">
        <is>
          <t>Food Items</t>
        </is>
      </c>
      <c r="B10" s="3" t="inlineStr"/>
      <c r="C10" s="3">
        <f>SUMIFS('Intake Log'!H:H,'Intake Log'!F:F,"Food Items",'Intake Log'!M:M,"&lt;&gt;Dispatched")</f>
        <v/>
      </c>
      <c r="D10" s="3" t="inlineStr">
        <is>
          <t>cans/kg</t>
        </is>
      </c>
      <c r="E10" s="3" t="inlineStr">
        <is>
          <t>Various</t>
        </is>
      </c>
      <c r="F10" s="6">
        <f>IFERROR(AVERAGEIFS('Intake Log'!N:N,'Intake Log'!F:F,"Food Items",'Intake Log'!M:M,"&lt;&gt;Dispatched"),0)</f>
        <v/>
      </c>
      <c r="G10" s="3" t="inlineStr">
        <is>
          <t>B-05, B-06</t>
        </is>
      </c>
      <c r="H10" s="3">
        <f>IF(C10=0,"Out of Stock",IF(C10&lt;10,"Low",IF(C10&lt;50,"Medium","Good")))</f>
        <v/>
      </c>
      <c r="I10" s="3" t="n"/>
    </row>
    <row r="11">
      <c r="A11" s="4" t="inlineStr">
        <is>
          <t>Baby Supplies</t>
        </is>
      </c>
      <c r="B11" s="3" t="inlineStr"/>
      <c r="C11" s="3">
        <f>SUMIFS('Intake Log'!H:H,'Intake Log'!F:F,"Baby Supplies",'Intake Log'!M:M,"&lt;&gt;Dispatched")</f>
        <v/>
      </c>
      <c r="D11" s="3" t="inlineStr">
        <is>
          <t>boxes/cans</t>
        </is>
      </c>
      <c r="E11" s="3" t="inlineStr">
        <is>
          <t>Various</t>
        </is>
      </c>
      <c r="F11" s="6">
        <f>IFERROR(AVERAGEIFS('Intake Log'!N:N,'Intake Log'!F:F,"Baby Supplies",'Intake Log'!M:M,"&lt;&gt;Dispatched"),0)</f>
        <v/>
      </c>
      <c r="G11" s="3" t="inlineStr">
        <is>
          <t>F-02, F-03</t>
        </is>
      </c>
      <c r="H11" s="3">
        <f>IF(C11=0,"Out of Stock",IF(C11&lt;10,"Low",IF(C11&lt;50,"Medium","Good")))</f>
        <v/>
      </c>
      <c r="I11" s="3" t="n"/>
    </row>
    <row r="12">
      <c r="A12" s="4" t="inlineStr">
        <is>
          <t>Electronics</t>
        </is>
      </c>
      <c r="B12" s="3" t="inlineStr"/>
      <c r="C12" s="3">
        <f>SUMIFS('Intake Log'!H:H,'Intake Log'!F:F,"Electronics",'Intake Log'!M:M,"&lt;&gt;Dispatched")</f>
        <v/>
      </c>
      <c r="D12" s="3" t="inlineStr">
        <is>
          <t>pieces</t>
        </is>
      </c>
      <c r="E12" s="3" t="inlineStr">
        <is>
          <t>Various</t>
        </is>
      </c>
      <c r="F12" s="6">
        <f>IFERROR(AVERAGEIFS('Intake Log'!N:N,'Intake Log'!F:F,"Electronics",'Intake Log'!M:M,"&lt;&gt;Dispatched"),0)</f>
        <v/>
      </c>
      <c r="G12" s="3" t="inlineStr">
        <is>
          <t>G-01</t>
        </is>
      </c>
      <c r="H12" s="3">
        <f>IF(C12=0,"Out of Stock",IF(C12&lt;10,"Low",IF(C12&lt;50,"Medium","Good")))</f>
        <v/>
      </c>
      <c r="I12" s="3" t="n"/>
    </row>
    <row r="13">
      <c r="A13" s="4" t="inlineStr">
        <is>
          <t>Miscellaneous</t>
        </is>
      </c>
      <c r="B13" s="3" t="inlineStr"/>
      <c r="C13" s="3">
        <f>SUMIFS('Intake Log'!H:H,'Intake Log'!F:F,"Miscellaneous",'Intake Log'!M:M,"&lt;&gt;Dispatched")</f>
        <v/>
      </c>
      <c r="D13" s="3" t="inlineStr">
        <is>
          <t>pieces</t>
        </is>
      </c>
      <c r="E13" s="3" t="inlineStr">
        <is>
          <t>Various</t>
        </is>
      </c>
      <c r="F13" s="6">
        <f>IFERROR(AVERAGEIFS('Intake Log'!N:N,'Intake Log'!F:F,"Miscellaneous",'Intake Log'!M:M,"&lt;&gt;Dispatched"),0)</f>
        <v/>
      </c>
      <c r="G13" s="3" t="inlineStr">
        <is>
          <t>J-10</t>
        </is>
      </c>
      <c r="H13" s="3">
        <f>IF(C13=0,"Out of Stock",IF(C13&lt;10,"Low",IF(C13&lt;50,"Medium","Good")))</f>
        <v/>
      </c>
      <c r="I13" s="3" t="n"/>
    </row>
    <row r="14"/>
    <row r="15">
      <c r="A15" s="7" t="inlineStr">
        <is>
          <t>TOTAL INVENTORY</t>
        </is>
      </c>
      <c r="C15" s="8">
        <f>SUM(C2:C13)</f>
        <v/>
      </c>
    </row>
  </sheetData>
  <conditionalFormatting sqref="A2:I1000">
    <cfRule type="expression" priority="1" dxfId="0">
      <formula>$H2="Good"</formula>
    </cfRule>
    <cfRule type="expression" priority="2" dxfId="1">
      <formula>OR($H2="Medium",$H2="Low")</formula>
    </cfRule>
    <cfRule type="expression" priority="3" dxfId="2">
      <formula>$H2="Out of Stock"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8" customWidth="1" min="3" max="3"/>
    <col width="35" customWidth="1" min="4" max="4"/>
  </cols>
  <sheetData>
    <row r="1">
      <c r="A1" s="1" t="inlineStr">
        <is>
          <t>Category Code</t>
        </is>
      </c>
      <c r="B1" s="1" t="inlineStr">
        <is>
          <t>Category Name</t>
        </is>
      </c>
      <c r="C1" s="1" t="inlineStr">
        <is>
          <t>Color Assignment</t>
        </is>
      </c>
      <c r="D1" s="1" t="inlineStr">
        <is>
          <t>Description</t>
        </is>
      </c>
    </row>
    <row r="2">
      <c r="A2" s="4" t="inlineStr">
        <is>
          <t>CAT01</t>
        </is>
      </c>
      <c r="B2" s="4" t="inlineStr">
        <is>
          <t>Clothing (Adult Male)</t>
        </is>
      </c>
      <c r="C2" s="4" t="inlineStr">
        <is>
          <t>Blue</t>
        </is>
      </c>
      <c r="D2" s="4" t="inlineStr">
        <is>
          <t>Men's clothing items</t>
        </is>
      </c>
    </row>
    <row r="3">
      <c r="A3" s="4" t="inlineStr">
        <is>
          <t>CAT02</t>
        </is>
      </c>
      <c r="B3" s="4" t="inlineStr">
        <is>
          <t>Clothing (Adult Female)</t>
        </is>
      </c>
      <c r="C3" s="4" t="inlineStr">
        <is>
          <t>Purple</t>
        </is>
      </c>
      <c r="D3" s="4" t="inlineStr">
        <is>
          <t>Women's clothing items</t>
        </is>
      </c>
    </row>
    <row r="4">
      <c r="A4" s="4" t="inlineStr">
        <is>
          <t>CAT03</t>
        </is>
      </c>
      <c r="B4" s="4" t="inlineStr">
        <is>
          <t>Clothing (Children)</t>
        </is>
      </c>
      <c r="C4" s="4" t="inlineStr">
        <is>
          <t>Green</t>
        </is>
      </c>
      <c r="D4" s="4" t="inlineStr">
        <is>
          <t>Children's clothing items</t>
        </is>
      </c>
    </row>
    <row r="5">
      <c r="A5" s="4" t="inlineStr">
        <is>
          <t>CAT04</t>
        </is>
      </c>
      <c r="B5" s="4" t="inlineStr">
        <is>
          <t>Shoes/Footwear</t>
        </is>
      </c>
      <c r="C5" s="4" t="inlineStr">
        <is>
          <t>Orange</t>
        </is>
      </c>
      <c r="D5" s="4" t="inlineStr">
        <is>
          <t>All types of footwear</t>
        </is>
      </c>
    </row>
    <row r="6">
      <c r="A6" s="4" t="inlineStr">
        <is>
          <t>CAT05</t>
        </is>
      </c>
      <c r="B6" s="4" t="inlineStr">
        <is>
          <t>Household Items</t>
        </is>
      </c>
      <c r="C6" s="4" t="inlineStr">
        <is>
          <t>Yellow</t>
        </is>
      </c>
      <c r="D6" s="4" t="inlineStr">
        <is>
          <t>General household goods</t>
        </is>
      </c>
    </row>
    <row r="7">
      <c r="A7" s="4" t="inlineStr">
        <is>
          <t>CAT06</t>
        </is>
      </c>
      <c r="B7" s="4" t="inlineStr">
        <is>
          <t>Kitchenware</t>
        </is>
      </c>
      <c r="C7" s="4" t="inlineStr">
        <is>
          <t>Red</t>
        </is>
      </c>
      <c r="D7" s="4" t="inlineStr">
        <is>
          <t>Kitchen utensils and appliances</t>
        </is>
      </c>
    </row>
    <row r="8">
      <c r="A8" s="4" t="inlineStr">
        <is>
          <t>CAT07</t>
        </is>
      </c>
      <c r="B8" s="4" t="inlineStr">
        <is>
          <t>Bedding/Linens</t>
        </is>
      </c>
      <c r="C8" s="4" t="inlineStr">
        <is>
          <t>Teal</t>
        </is>
      </c>
      <c r="D8" s="4" t="inlineStr">
        <is>
          <t>Bedsheets, blankets, pillows</t>
        </is>
      </c>
    </row>
    <row r="9">
      <c r="A9" s="4" t="inlineStr">
        <is>
          <t>CAT08</t>
        </is>
      </c>
      <c r="B9" s="4" t="inlineStr">
        <is>
          <t>Toiletries/Hygiene</t>
        </is>
      </c>
      <c r="C9" s="4" t="inlineStr">
        <is>
          <t>Pink</t>
        </is>
      </c>
      <c r="D9" s="4" t="inlineStr">
        <is>
          <t>Personal care items</t>
        </is>
      </c>
    </row>
    <row r="10">
      <c r="A10" s="4" t="inlineStr">
        <is>
          <t>CAT09</t>
        </is>
      </c>
      <c r="B10" s="4" t="inlineStr">
        <is>
          <t>Food Items</t>
        </is>
      </c>
      <c r="C10" s="4" t="inlineStr">
        <is>
          <t>Brown</t>
        </is>
      </c>
      <c r="D10" s="4" t="inlineStr">
        <is>
          <t>Non-perishable food</t>
        </is>
      </c>
    </row>
    <row r="11">
      <c r="A11" s="4" t="inlineStr">
        <is>
          <t>CAT10</t>
        </is>
      </c>
      <c r="B11" s="4" t="inlineStr">
        <is>
          <t>Baby Supplies</t>
        </is>
      </c>
      <c r="C11" s="4" t="inlineStr">
        <is>
          <t>Light Blue</t>
        </is>
      </c>
      <c r="D11" s="4" t="inlineStr">
        <is>
          <t>Items for infants and toddlers</t>
        </is>
      </c>
    </row>
    <row r="12">
      <c r="A12" s="4" t="inlineStr">
        <is>
          <t>CAT11</t>
        </is>
      </c>
      <c r="B12" s="4" t="inlineStr">
        <is>
          <t>Electronics</t>
        </is>
      </c>
      <c r="C12" s="4" t="inlineStr">
        <is>
          <t>Gray</t>
        </is>
      </c>
      <c r="D12" s="4" t="inlineStr">
        <is>
          <t>Electronic devices and accessories</t>
        </is>
      </c>
    </row>
    <row r="13">
      <c r="A13" s="4" t="inlineStr">
        <is>
          <t>CAT12</t>
        </is>
      </c>
      <c r="B13" s="4" t="inlineStr">
        <is>
          <t>Miscellaneous</t>
        </is>
      </c>
      <c r="C13" s="4" t="inlineStr">
        <is>
          <t>Beige</t>
        </is>
      </c>
      <c r="D13" s="4" t="inlineStr">
        <is>
          <t>Other uncategorized items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12" customWidth="1" min="5" max="5"/>
    <col width="14" customWidth="1" min="6" max="6"/>
  </cols>
  <sheetData>
    <row r="1">
      <c r="A1" s="1" t="inlineStr">
        <is>
          <t>Volunteer 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Status</t>
        </is>
      </c>
      <c r="F1" s="1" t="inlineStr">
        <is>
          <t>Join Date</t>
        </is>
      </c>
    </row>
    <row r="2">
      <c r="A2" s="4" t="inlineStr">
        <is>
          <t>VOL001</t>
        </is>
      </c>
      <c r="B2" s="4" t="inlineStr">
        <is>
          <t>Sarah Johnson</t>
        </is>
      </c>
      <c r="C2" s="4" t="inlineStr">
        <is>
          <t>sarah.j@email.com</t>
        </is>
      </c>
      <c r="D2" s="4" t="inlineStr">
        <is>
          <t>Intake Coordinator</t>
        </is>
      </c>
      <c r="E2" s="4" t="inlineStr">
        <is>
          <t>Active</t>
        </is>
      </c>
      <c r="F2" s="4" t="inlineStr">
        <is>
          <t>2023-01-15</t>
        </is>
      </c>
    </row>
    <row r="3">
      <c r="A3" s="4" t="inlineStr">
        <is>
          <t>VOL002</t>
        </is>
      </c>
      <c r="B3" s="4" t="inlineStr">
        <is>
          <t>Michael Chen</t>
        </is>
      </c>
      <c r="C3" s="4" t="inlineStr">
        <is>
          <t>m.chen@email.com</t>
        </is>
      </c>
      <c r="D3" s="4" t="inlineStr">
        <is>
          <t>Sorter</t>
        </is>
      </c>
      <c r="E3" s="4" t="inlineStr">
        <is>
          <t>Active</t>
        </is>
      </c>
      <c r="F3" s="4" t="inlineStr">
        <is>
          <t>2023-02-20</t>
        </is>
      </c>
    </row>
    <row r="4">
      <c r="A4" s="4" t="inlineStr">
        <is>
          <t>VOL003</t>
        </is>
      </c>
      <c r="B4" s="4" t="inlineStr">
        <is>
          <t>Emily Rodriguez</t>
        </is>
      </c>
      <c r="C4" s="4" t="inlineStr">
        <is>
          <t>emily.r@email.com</t>
        </is>
      </c>
      <c r="D4" s="4" t="inlineStr">
        <is>
          <t>Dispatcher</t>
        </is>
      </c>
      <c r="E4" s="4" t="inlineStr">
        <is>
          <t>Active</t>
        </is>
      </c>
      <c r="F4" s="4" t="inlineStr">
        <is>
          <t>2023-03-10</t>
        </is>
      </c>
    </row>
    <row r="5">
      <c r="A5" s="4" t="inlineStr">
        <is>
          <t>VOL004</t>
        </is>
      </c>
      <c r="B5" s="4" t="inlineStr">
        <is>
          <t>David Kim</t>
        </is>
      </c>
      <c r="C5" s="4" t="inlineStr">
        <is>
          <t>d.kim@email.com</t>
        </is>
      </c>
      <c r="D5" s="4" t="inlineStr">
        <is>
          <t>Intake Coordinator</t>
        </is>
      </c>
      <c r="E5" s="4" t="inlineStr">
        <is>
          <t>Active</t>
        </is>
      </c>
      <c r="F5" s="4" t="inlineStr">
        <is>
          <t>2023-04-05</t>
        </is>
      </c>
    </row>
    <row r="6">
      <c r="A6" s="4" t="inlineStr">
        <is>
          <t>VOL005</t>
        </is>
      </c>
      <c r="B6" s="4" t="inlineStr">
        <is>
          <t>Lisa Thompson</t>
        </is>
      </c>
      <c r="C6" s="4" t="inlineStr">
        <is>
          <t>lisa.t@email.com</t>
        </is>
      </c>
      <c r="D6" s="4" t="inlineStr">
        <is>
          <t>Sorter</t>
        </is>
      </c>
      <c r="E6" s="4" t="inlineStr">
        <is>
          <t>On Leave</t>
        </is>
      </c>
      <c r="F6" s="4" t="inlineStr">
        <is>
          <t>2023-05-12</t>
        </is>
      </c>
    </row>
    <row r="7">
      <c r="A7" s="4" t="inlineStr">
        <is>
          <t>VOL006</t>
        </is>
      </c>
      <c r="B7" s="4" t="inlineStr">
        <is>
          <t>James Wilson</t>
        </is>
      </c>
      <c r="C7" s="4" t="inlineStr">
        <is>
          <t>j.wilson@email.com</t>
        </is>
      </c>
      <c r="D7" s="4" t="inlineStr">
        <is>
          <t>Team Lead</t>
        </is>
      </c>
      <c r="E7" s="4" t="inlineStr">
        <is>
          <t>Active</t>
        </is>
      </c>
      <c r="F7" s="4" t="inlineStr">
        <is>
          <t>2023-01-08</t>
        </is>
      </c>
    </row>
    <row r="8">
      <c r="A8" s="4" t="inlineStr">
        <is>
          <t>VOL007</t>
        </is>
      </c>
      <c r="B8" s="4" t="inlineStr">
        <is>
          <t>Maria Garcia</t>
        </is>
      </c>
      <c r="C8" s="4" t="inlineStr">
        <is>
          <t>maria.g@email.com</t>
        </is>
      </c>
      <c r="D8" s="4" t="inlineStr">
        <is>
          <t>Dispatcher</t>
        </is>
      </c>
      <c r="E8" s="4" t="inlineStr">
        <is>
          <t>Active</t>
        </is>
      </c>
      <c r="F8" s="4" t="inlineStr">
        <is>
          <t>2023-06-18</t>
        </is>
      </c>
    </row>
    <row r="9">
      <c r="A9" s="4" t="inlineStr">
        <is>
          <t>VOL008</t>
        </is>
      </c>
      <c r="B9" s="4" t="inlineStr">
        <is>
          <t>Robert Brown</t>
        </is>
      </c>
      <c r="C9" s="4" t="inlineStr">
        <is>
          <t>r.brown@email.com</t>
        </is>
      </c>
      <c r="D9" s="4" t="inlineStr">
        <is>
          <t>Sorter</t>
        </is>
      </c>
      <c r="E9" s="4" t="inlineStr">
        <is>
          <t>Active</t>
        </is>
      </c>
      <c r="F9" s="4" t="inlineStr">
        <is>
          <t>2023-07-22</t>
        </is>
      </c>
    </row>
    <row r="10">
      <c r="A10" s="4" t="inlineStr">
        <is>
          <t>VOL009</t>
        </is>
      </c>
      <c r="B10" s="4" t="inlineStr">
        <is>
          <t>Jennifer Lee</t>
        </is>
      </c>
      <c r="C10" s="4" t="inlineStr">
        <is>
          <t>j.lee@email.com</t>
        </is>
      </c>
      <c r="D10" s="4" t="inlineStr">
        <is>
          <t>Intake Coordinator</t>
        </is>
      </c>
      <c r="E10" s="4" t="inlineStr">
        <is>
          <t>Active</t>
        </is>
      </c>
      <c r="F10" s="4" t="inlineStr">
        <is>
          <t>2023-08-01</t>
        </is>
      </c>
    </row>
    <row r="11">
      <c r="A11" s="4" t="inlineStr">
        <is>
          <t>VOL010</t>
        </is>
      </c>
      <c r="B11" s="4" t="inlineStr">
        <is>
          <t>Thomas Martinez</t>
        </is>
      </c>
      <c r="C11" s="4" t="inlineStr">
        <is>
          <t>t.martinez@email.com</t>
        </is>
      </c>
      <c r="D11" s="4" t="inlineStr">
        <is>
          <t>Warehouse</t>
        </is>
      </c>
      <c r="E11" s="4" t="inlineStr">
        <is>
          <t>Active</t>
        </is>
      </c>
      <c r="F11" s="4" t="inlineStr">
        <is>
          <t>2023-09-15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2" customWidth="1" min="4" max="4"/>
    <col width="10" customWidth="1" min="5" max="5"/>
    <col width="25" customWidth="1" min="6" max="6"/>
    <col width="22" customWidth="1" min="7" max="7"/>
    <col width="22" customWidth="1" min="8" max="8"/>
    <col width="14" customWidth="1" min="9" max="9"/>
    <col width="30" customWidth="1" min="10" max="10"/>
    <col width="14" customWidth="1" min="11" max="11"/>
    <col width="45" customWidth="1" min="12" max="12"/>
  </cols>
  <sheetData>
    <row r="1">
      <c r="A1" s="1" t="inlineStr">
        <is>
          <t>Dispatch ID</t>
        </is>
      </c>
      <c r="B1" s="1" t="inlineStr">
        <is>
          <t>Date</t>
        </is>
      </c>
      <c r="C1" s="1" t="inlineStr">
        <is>
          <t>Donation ID</t>
        </is>
      </c>
      <c r="D1" s="1" t="inlineStr">
        <is>
          <t>Items Dispatched</t>
        </is>
      </c>
      <c r="E1" s="1" t="inlineStr">
        <is>
          <t>Quantity</t>
        </is>
      </c>
      <c r="F1" s="1" t="inlineStr">
        <is>
          <t>Recipient Organization</t>
        </is>
      </c>
      <c r="G1" s="1" t="inlineStr">
        <is>
          <t>Collection Team Contact</t>
        </is>
      </c>
      <c r="H1" s="1" t="inlineStr">
        <is>
          <t>Volunteer Preparer</t>
        </is>
      </c>
      <c r="I1" s="1" t="inlineStr">
        <is>
          <t>Dispatch Time</t>
        </is>
      </c>
      <c r="J1" s="1" t="inlineStr">
        <is>
          <t>Notes</t>
        </is>
      </c>
      <c r="K1" s="1" t="inlineStr">
        <is>
          <t>Running Total</t>
        </is>
      </c>
      <c r="L1" s="2" t="inlineStr">
        <is>
          <t>INSTRUCTIONS</t>
        </is>
      </c>
    </row>
    <row r="2">
      <c r="A2" s="3" t="inlineStr">
        <is>
          <t>DIS001</t>
        </is>
      </c>
      <c r="B2" s="4" t="inlineStr">
        <is>
          <t>2024-01-18</t>
        </is>
      </c>
      <c r="C2" s="3" t="inlineStr">
        <is>
          <t>DON003</t>
        </is>
      </c>
      <c r="D2" s="4" t="inlineStr">
        <is>
          <t>Blankets</t>
        </is>
      </c>
      <c r="E2" s="3" t="n">
        <v>15</v>
      </c>
      <c r="F2" s="4" t="inlineStr">
        <is>
          <t>Hope Shelter</t>
        </is>
      </c>
      <c r="G2" s="4" t="inlineStr">
        <is>
          <t>555-0201</t>
        </is>
      </c>
      <c r="H2" s="4" t="inlineStr">
        <is>
          <t>Emily Rodriguez</t>
        </is>
      </c>
      <c r="I2" s="3" t="inlineStr">
        <is>
          <t>10:00</t>
        </is>
      </c>
      <c r="J2" s="4" t="inlineStr">
        <is>
          <t>Urgent need met</t>
        </is>
      </c>
      <c r="K2" s="9">
        <f>E2</f>
        <v/>
      </c>
      <c r="L2" s="5" t="inlineStr">
        <is>
          <t>1. Record all dispatches here</t>
        </is>
      </c>
    </row>
    <row r="3">
      <c r="A3" s="3" t="inlineStr">
        <is>
          <t>DIS002</t>
        </is>
      </c>
      <c r="B3" s="4" t="inlineStr">
        <is>
          <t>2024-01-19</t>
        </is>
      </c>
      <c r="C3" s="3" t="inlineStr">
        <is>
          <t>DON005</t>
        </is>
      </c>
      <c r="D3" s="4" t="inlineStr">
        <is>
          <t>Winter Coats</t>
        </is>
      </c>
      <c r="E3" s="3" t="n">
        <v>20</v>
      </c>
      <c r="F3" s="4" t="inlineStr">
        <is>
          <t>Community Center</t>
        </is>
      </c>
      <c r="G3" s="4" t="inlineStr">
        <is>
          <t>555-0202</t>
        </is>
      </c>
      <c r="H3" s="4" t="inlineStr">
        <is>
          <t>Sarah Johnson</t>
        </is>
      </c>
      <c r="I3" s="3" t="inlineStr">
        <is>
          <t>09:30</t>
        </is>
      </c>
      <c r="J3" s="4" t="inlineStr">
        <is>
          <t>For families</t>
        </is>
      </c>
      <c r="K3" s="9">
        <f>K2+E3</f>
        <v/>
      </c>
      <c r="L3" s="5" t="inlineStr">
        <is>
          <t>2. Link to Donation ID from Intake Log</t>
        </is>
      </c>
    </row>
    <row r="4">
      <c r="A4" s="3" t="inlineStr">
        <is>
          <t>DIS003</t>
        </is>
      </c>
      <c r="B4" s="4" t="inlineStr">
        <is>
          <t>2024-01-20</t>
        </is>
      </c>
      <c r="C4" s="3" t="inlineStr">
        <is>
          <t>DON009</t>
        </is>
      </c>
      <c r="D4" s="4" t="inlineStr">
        <is>
          <t>Sneakers</t>
        </is>
      </c>
      <c r="E4" s="3" t="n">
        <v>18</v>
      </c>
      <c r="F4" s="4" t="inlineStr">
        <is>
          <t>Youth Program</t>
        </is>
      </c>
      <c r="G4" s="4" t="inlineStr">
        <is>
          <t>555-0203</t>
        </is>
      </c>
      <c r="H4" s="4" t="inlineStr">
        <is>
          <t>David Kim</t>
        </is>
      </c>
      <c r="I4" s="3" t="inlineStr">
        <is>
          <t>14:00</t>
        </is>
      </c>
      <c r="J4" s="4" t="inlineStr">
        <is>
          <t>Sports equipment</t>
        </is>
      </c>
      <c r="K4" s="9">
        <f>K3+E4</f>
        <v/>
      </c>
      <c r="L4" s="5" t="inlineStr">
        <is>
          <t>3. Running Total auto-calculates</t>
        </is>
      </c>
    </row>
    <row r="5">
      <c r="A5" s="3" t="inlineStr">
        <is>
          <t>DIS004</t>
        </is>
      </c>
      <c r="B5" s="4" t="inlineStr">
        <is>
          <t>2024-01-21</t>
        </is>
      </c>
      <c r="C5" s="3" t="inlineStr">
        <is>
          <t>DON012</t>
        </is>
      </c>
      <c r="D5" s="4" t="inlineStr">
        <is>
          <t>Rice/Pasta</t>
        </is>
      </c>
      <c r="E5" s="3" t="n">
        <v>40</v>
      </c>
      <c r="F5" s="4" t="inlineStr">
        <is>
          <t>Food Bank</t>
        </is>
      </c>
      <c r="G5" s="4" t="inlineStr">
        <is>
          <t>555-0204</t>
        </is>
      </c>
      <c r="H5" s="4" t="inlineStr">
        <is>
          <t>Michael Chen</t>
        </is>
      </c>
      <c r="I5" s="3" t="inlineStr">
        <is>
          <t>11:00</t>
        </is>
      </c>
      <c r="J5" s="4" t="inlineStr">
        <is>
          <t>Monthly distribution</t>
        </is>
      </c>
      <c r="K5" s="9">
        <f>K4+E5</f>
        <v/>
      </c>
      <c r="L5" s="5" t="inlineStr">
        <is>
          <t>4. Update Intake Log status to 'Dispatched'</t>
        </is>
      </c>
    </row>
    <row r="6">
      <c r="A6" s="3" t="inlineStr">
        <is>
          <t>DIS005</t>
        </is>
      </c>
      <c r="B6" s="4" t="inlineStr">
        <is>
          <t>2024-01-22</t>
        </is>
      </c>
      <c r="C6" s="3" t="inlineStr">
        <is>
          <t>DON004</t>
        </is>
      </c>
      <c r="D6" s="4" t="inlineStr">
        <is>
          <t>Soap/Shampoo</t>
        </is>
      </c>
      <c r="E6" s="3" t="n">
        <v>100</v>
      </c>
      <c r="F6" s="4" t="inlineStr">
        <is>
          <t>Women's Shelter</t>
        </is>
      </c>
      <c r="G6" s="4" t="inlineStr">
        <is>
          <t>555-0205</t>
        </is>
      </c>
      <c r="H6" s="4" t="inlineStr">
        <is>
          <t>Emily Rodriguez</t>
        </is>
      </c>
      <c r="I6" s="3" t="inlineStr">
        <is>
          <t>15:30</t>
        </is>
      </c>
      <c r="J6" s="4" t="inlineStr">
        <is>
          <t>Hygiene kits</t>
        </is>
      </c>
      <c r="K6" s="9">
        <f>K5+E6</f>
        <v/>
      </c>
      <c r="L6" s="5" t="inlineStr">
        <is>
          <t>5. Include recipient organization details</t>
        </is>
      </c>
    </row>
    <row r="7">
      <c r="A7" s="3" t="inlineStr">
        <is>
          <t>DIS006</t>
        </is>
      </c>
      <c r="B7" s="4" t="inlineStr">
        <is>
          <t>2024-01-23</t>
        </is>
      </c>
      <c r="C7" s="3" t="inlineStr">
        <is>
          <t>DON013</t>
        </is>
      </c>
      <c r="D7" s="4" t="inlineStr">
        <is>
          <t>Toothbrushes</t>
        </is>
      </c>
      <c r="E7" s="3" t="n">
        <v>200</v>
      </c>
      <c r="F7" s="4" t="inlineStr">
        <is>
          <t>Health Clinic</t>
        </is>
      </c>
      <c r="G7" s="4" t="inlineStr">
        <is>
          <t>555-0206</t>
        </is>
      </c>
      <c r="H7" s="4" t="inlineStr">
        <is>
          <t>Sarah Johnson</t>
        </is>
      </c>
      <c r="I7" s="3" t="inlineStr">
        <is>
          <t>10:00</t>
        </is>
      </c>
      <c r="J7" s="4" t="inlineStr">
        <is>
          <t>Dental health program</t>
        </is>
      </c>
      <c r="K7" s="9">
        <f>K6+E7</f>
        <v/>
      </c>
      <c r="L7" s="5" t="inlineStr">
        <is>
          <t>6. Note collection team contact info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dataValidations count="1">
    <dataValidation sqref="H2:H1000" showDropDown="0" showInputMessage="0" showErrorMessage="0" allowBlank="1" type="list">
      <formula1>"Sarah Johnson,Michael Chen,Emily Rodriguez,David Kim,James Wilson,Maria Garcia,Robert Brown,Jennifer Lee,Thomas Martinez"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18" customWidth="1" min="7" max="7"/>
  </cols>
  <sheetData>
    <row r="1">
      <c r="A1" s="10" t="inlineStr">
        <is>
          <t>DONATION TRACKING DASHBOARD</t>
        </is>
      </c>
    </row>
    <row r="2">
      <c r="A2" s="7" t="inlineStr">
        <is>
          <t>Report Generated:</t>
        </is>
      </c>
      <c r="B2" s="11">
        <f>TODAY()</f>
        <v/>
      </c>
    </row>
    <row r="4">
      <c r="A4" s="12" t="inlineStr">
        <is>
          <t>KEY METRICS</t>
        </is>
      </c>
      <c r="F4" s="12" t="inlineStr">
        <is>
          <t>PRIORITY DISTRIBUTION</t>
        </is>
      </c>
    </row>
    <row r="5">
      <c r="A5" s="7" t="inlineStr">
        <is>
          <t>Total Donations Received:</t>
        </is>
      </c>
      <c r="B5">
        <f>COUNTA('Intake Log'!A:A)-1</f>
        <v/>
      </c>
      <c r="C5" t="inlineStr">
        <is>
          <t>items</t>
        </is>
      </c>
      <c r="F5" s="13" t="inlineStr">
        <is>
          <t>Priority</t>
        </is>
      </c>
      <c r="G5" s="13" t="inlineStr">
        <is>
          <t>Count</t>
        </is>
      </c>
    </row>
    <row r="6">
      <c r="A6" s="7" t="inlineStr">
        <is>
          <t>Total Items Dispatched:</t>
        </is>
      </c>
      <c r="B6">
        <f>SUM('Dispatch Record'!E:E)</f>
        <v/>
      </c>
      <c r="C6" t="inlineStr">
        <is>
          <t>items</t>
        </is>
      </c>
      <c r="F6" s="14" t="inlineStr">
        <is>
          <t>High</t>
        </is>
      </c>
      <c r="G6" s="3">
        <f>COUNTIF('Intake Log'!K:K,"High")</f>
        <v/>
      </c>
    </row>
    <row r="7">
      <c r="A7" s="7" t="inlineStr">
        <is>
          <t>Current Inventory:</t>
        </is>
      </c>
      <c r="B7">
        <f>COUNTIFS('Intake Log'!M:M,"&lt;&gt;Dispatched")</f>
        <v/>
      </c>
      <c r="C7" t="inlineStr">
        <is>
          <t>items</t>
        </is>
      </c>
      <c r="F7" s="14" t="inlineStr">
        <is>
          <t>Medium</t>
        </is>
      </c>
      <c r="G7" s="3">
        <f>COUNTIF('Intake Log'!K:K,"Medium")</f>
        <v/>
      </c>
    </row>
    <row r="8">
      <c r="A8" s="7" t="inlineStr">
        <is>
          <t>Ready for Dispatch:</t>
        </is>
      </c>
      <c r="B8">
        <f>COUNTIF('Intake Log'!M:M,"Ready for Dispatch")</f>
        <v/>
      </c>
      <c r="C8" t="inlineStr">
        <is>
          <t>items</t>
        </is>
      </c>
      <c r="F8" s="14" t="inlineStr">
        <is>
          <t>Low</t>
        </is>
      </c>
      <c r="G8" s="3">
        <f>COUNTIF('Intake Log'!K:K,"Low")</f>
        <v/>
      </c>
    </row>
    <row r="9">
      <c r="A9" s="7" t="inlineStr">
        <is>
          <t>In Sorting:</t>
        </is>
      </c>
      <c r="B9">
        <f>COUNTIF('Intake Log'!M:M,"In Sorting")</f>
        <v/>
      </c>
      <c r="C9" t="inlineStr">
        <is>
          <t>items</t>
        </is>
      </c>
    </row>
    <row r="10">
      <c r="A10" s="7" t="inlineStr">
        <is>
          <t>Average Processing Time:</t>
        </is>
      </c>
      <c r="B10">
        <f>AVERAGE('Intake Log'!N:N)</f>
        <v/>
      </c>
      <c r="C10" t="inlineStr">
        <is>
          <t>days</t>
        </is>
      </c>
    </row>
    <row r="12">
      <c r="A12" s="12" t="inlineStr">
        <is>
          <t>DONATIONS BY CATEGORY</t>
        </is>
      </c>
    </row>
    <row r="13">
      <c r="A13" s="13" t="inlineStr">
        <is>
          <t>Category</t>
        </is>
      </c>
      <c r="B13" s="13" t="inlineStr">
        <is>
          <t>Received</t>
        </is>
      </c>
      <c r="C13" s="13" t="inlineStr">
        <is>
          <t>Dispatched</t>
        </is>
      </c>
      <c r="D13" s="13" t="inlineStr">
        <is>
          <t>Current Stock</t>
        </is>
      </c>
    </row>
    <row r="14">
      <c r="A14" s="14" t="inlineStr">
        <is>
          <t>CAT01</t>
        </is>
      </c>
      <c r="B14" s="3">
        <f>COUNTIF('Intake Log'!F:F,"CAT01")</f>
        <v/>
      </c>
      <c r="C14" s="3">
        <f>COUNTIFS('Intake Log'!F:F,"CAT01",'Intake Log'!M:M,"Dispatched")</f>
        <v/>
      </c>
      <c r="D14" s="3">
        <f>B14-C14</f>
        <v/>
      </c>
    </row>
    <row r="15">
      <c r="A15" s="14" t="inlineStr">
        <is>
          <t>CAT02</t>
        </is>
      </c>
      <c r="B15" s="3">
        <f>COUNTIF('Intake Log'!F:F,"CAT02")</f>
        <v/>
      </c>
      <c r="C15" s="3">
        <f>COUNTIFS('Intake Log'!F:F,"CAT02",'Intake Log'!M:M,"Dispatched")</f>
        <v/>
      </c>
      <c r="D15" s="3">
        <f>B15-C15</f>
        <v/>
      </c>
    </row>
    <row r="16">
      <c r="A16" s="14" t="inlineStr">
        <is>
          <t>CAT03</t>
        </is>
      </c>
      <c r="B16" s="3">
        <f>COUNTIF('Intake Log'!F:F,"CAT03")</f>
        <v/>
      </c>
      <c r="C16" s="3">
        <f>COUNTIFS('Intake Log'!F:F,"CAT03",'Intake Log'!M:M,"Dispatched")</f>
        <v/>
      </c>
      <c r="D16" s="3">
        <f>B16-C16</f>
        <v/>
      </c>
    </row>
    <row r="17">
      <c r="A17" s="14" t="inlineStr">
        <is>
          <t>CAT04</t>
        </is>
      </c>
      <c r="B17" s="3">
        <f>COUNTIF('Intake Log'!F:F,"CAT04")</f>
        <v/>
      </c>
      <c r="C17" s="3">
        <f>COUNTIFS('Intake Log'!F:F,"CAT04",'Intake Log'!M:M,"Dispatched")</f>
        <v/>
      </c>
      <c r="D17" s="3">
        <f>B17-C17</f>
        <v/>
      </c>
    </row>
    <row r="18">
      <c r="A18" s="14" t="inlineStr">
        <is>
          <t>CAT05</t>
        </is>
      </c>
      <c r="B18" s="3">
        <f>COUNTIF('Intake Log'!F:F,"CAT05")</f>
        <v/>
      </c>
      <c r="C18" s="3">
        <f>COUNTIFS('Intake Log'!F:F,"CAT05",'Intake Log'!M:M,"Dispatched")</f>
        <v/>
      </c>
      <c r="D18" s="3">
        <f>B18-C18</f>
        <v/>
      </c>
    </row>
    <row r="19">
      <c r="A19" s="14" t="inlineStr">
        <is>
          <t>CAT06</t>
        </is>
      </c>
      <c r="B19" s="3">
        <f>COUNTIF('Intake Log'!F:F,"CAT06")</f>
        <v/>
      </c>
      <c r="C19" s="3">
        <f>COUNTIFS('Intake Log'!F:F,"CAT06",'Intake Log'!M:M,"Dispatched")</f>
        <v/>
      </c>
      <c r="D19" s="3">
        <f>B19-C19</f>
        <v/>
      </c>
    </row>
    <row r="20">
      <c r="A20" s="14" t="inlineStr">
        <is>
          <t>CAT07</t>
        </is>
      </c>
      <c r="B20" s="3">
        <f>COUNTIF('Intake Log'!F:F,"CAT07")</f>
        <v/>
      </c>
      <c r="C20" s="3">
        <f>COUNTIFS('Intake Log'!F:F,"CAT07",'Intake Log'!M:M,"Dispatched")</f>
        <v/>
      </c>
      <c r="D20" s="3">
        <f>B20-C20</f>
        <v/>
      </c>
    </row>
    <row r="21">
      <c r="A21" s="14" t="inlineStr">
        <is>
          <t>CAT08</t>
        </is>
      </c>
      <c r="B21" s="3">
        <f>COUNTIF('Intake Log'!F:F,"CAT08")</f>
        <v/>
      </c>
      <c r="C21" s="3">
        <f>COUNTIFS('Intake Log'!F:F,"CAT08",'Intake Log'!M:M,"Dispatched")</f>
        <v/>
      </c>
      <c r="D21" s="3">
        <f>B21-C21</f>
        <v/>
      </c>
    </row>
    <row r="22">
      <c r="A22" s="14" t="inlineStr">
        <is>
          <t>CAT09</t>
        </is>
      </c>
      <c r="B22" s="3">
        <f>COUNTIF('Intake Log'!F:F,"CAT09")</f>
        <v/>
      </c>
      <c r="C22" s="3">
        <f>COUNTIFS('Intake Log'!F:F,"CAT09",'Intake Log'!M:M,"Dispatched")</f>
        <v/>
      </c>
      <c r="D22" s="3">
        <f>B22-C22</f>
        <v/>
      </c>
    </row>
    <row r="23">
      <c r="A23" s="14" t="inlineStr">
        <is>
          <t>CAT10</t>
        </is>
      </c>
      <c r="B23" s="3">
        <f>COUNTIF('Intake Log'!F:F,"CAT10")</f>
        <v/>
      </c>
      <c r="C23" s="3">
        <f>COUNTIFS('Intake Log'!F:F,"CAT10",'Intake Log'!M:M,"Dispatched")</f>
        <v/>
      </c>
      <c r="D23" s="3">
        <f>B23-C23</f>
        <v/>
      </c>
    </row>
    <row r="24">
      <c r="A24" s="14" t="inlineStr">
        <is>
          <t>CAT11</t>
        </is>
      </c>
      <c r="B24" s="3">
        <f>COUNTIF('Intake Log'!F:F,"CAT11")</f>
        <v/>
      </c>
      <c r="C24" s="3">
        <f>COUNTIFS('Intake Log'!F:F,"CAT11",'Intake Log'!M:M,"Dispatched")</f>
        <v/>
      </c>
      <c r="D24" s="3">
        <f>B24-C24</f>
        <v/>
      </c>
    </row>
    <row r="25">
      <c r="A25" s="14" t="inlineStr">
        <is>
          <t>CAT12</t>
        </is>
      </c>
      <c r="B25" s="3">
        <f>COUNTIF('Intake Log'!F:F,"CAT12")</f>
        <v/>
      </c>
      <c r="C25" s="3">
        <f>COUNTIFS('Intake Log'!F:F,"CAT12",'Intake Log'!M:M,"Dispatched")</f>
        <v/>
      </c>
      <c r="D25" s="3">
        <f>B25-C25</f>
        <v/>
      </c>
    </row>
    <row r="26">
      <c r="A26" s="8" t="inlineStr">
        <is>
          <t>TOTAL</t>
        </is>
      </c>
      <c r="B26" s="8">
        <f>SUM(B14:B25)</f>
        <v/>
      </c>
      <c r="C26" s="8">
        <f>SUM(C14:C25)</f>
        <v/>
      </c>
      <c r="D26" s="8">
        <f>SUM(D14:D25)</f>
        <v/>
      </c>
    </row>
    <row r="28">
      <c r="F28" s="12" t="inlineStr">
        <is>
          <t>DAILY INTAKE TREND</t>
        </is>
      </c>
    </row>
    <row r="29">
      <c r="F29" s="13" t="inlineStr">
        <is>
          <t>Date</t>
        </is>
      </c>
      <c r="G29" s="13" t="inlineStr">
        <is>
          <t>Donations Received</t>
        </is>
      </c>
    </row>
    <row r="30">
      <c r="F30" s="14" t="inlineStr">
        <is>
          <t>2024-01-15</t>
        </is>
      </c>
      <c r="G30" s="3">
        <f>COUNTIF('Intake Log'!B:B,F30)</f>
        <v/>
      </c>
    </row>
    <row r="31">
      <c r="F31" s="14" t="inlineStr">
        <is>
          <t>2024-01-16</t>
        </is>
      </c>
      <c r="G31" s="3">
        <f>COUNTIF('Intake Log'!B:B,F31)</f>
        <v/>
      </c>
    </row>
    <row r="32">
      <c r="F32" s="14" t="inlineStr">
        <is>
          <t>2024-01-17</t>
        </is>
      </c>
      <c r="G32" s="3">
        <f>COUNTIF('Intake Log'!B:B,F32)</f>
        <v/>
      </c>
    </row>
    <row r="33">
      <c r="F33" s="14" t="inlineStr">
        <is>
          <t>2024-01-18</t>
        </is>
      </c>
      <c r="G33" s="3">
        <f>COUNTIF('Intake Log'!B:B,F33)</f>
        <v/>
      </c>
    </row>
    <row r="34">
      <c r="F34" s="14" t="inlineStr">
        <is>
          <t>2024-01-19</t>
        </is>
      </c>
      <c r="G34" s="3">
        <f>COUNTIF('Intake Log'!B:B,F34)</f>
        <v/>
      </c>
    </row>
    <row r="35">
      <c r="F35" s="14" t="inlineStr">
        <is>
          <t>2024-01-20</t>
        </is>
      </c>
      <c r="G35" s="3">
        <f>COUNTIF('Intake Log'!B:B,F35)</f>
        <v/>
      </c>
    </row>
    <row r="36">
      <c r="F36" s="14" t="inlineStr">
        <is>
          <t>2024-01-21</t>
        </is>
      </c>
      <c r="G36" s="3">
        <f>COUNTIF('Intake Log'!B:B,F36)</f>
        <v/>
      </c>
    </row>
    <row r="37">
      <c r="F37" s="14" t="inlineStr">
        <is>
          <t>2024-01-22</t>
        </is>
      </c>
      <c r="G37" s="3">
        <f>COUNTIF('Intake Log'!B:B,F37)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5" customWidth="1" min="4" max="4"/>
    <col width="15" customWidth="1" min="5" max="5"/>
    <col width="22" customWidth="1" min="6" max="6"/>
    <col width="14" customWidth="1" min="7" max="7"/>
    <col width="14" customWidth="1" min="8" max="8"/>
    <col width="25" customWidth="1" min="9" max="9"/>
  </cols>
  <sheetData>
    <row r="1">
      <c r="A1" s="15" t="inlineStr">
        <is>
          <t>CATEGORY PERFORMANCE ANALYSIS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Category</t>
        </is>
      </c>
      <c r="B3" s="1" t="inlineStr">
        <is>
          <t>Items Received</t>
        </is>
      </c>
      <c r="C3" s="1" t="inlineStr">
        <is>
          <t>Items Dispatched</t>
        </is>
      </c>
      <c r="D3" s="1" t="inlineStr">
        <is>
          <t>Current Stock</t>
        </is>
      </c>
      <c r="E3" s="1" t="inlineStr">
        <is>
          <t>Turnover Rate</t>
        </is>
      </c>
      <c r="F3" s="1" t="inlineStr">
        <is>
          <t>Avg Days in Inventory</t>
        </is>
      </c>
      <c r="G3" s="1" t="inlineStr">
        <is>
          <t>Stock Status</t>
        </is>
      </c>
      <c r="H3" s="1" t="inlineStr">
        <is>
          <t>Performance</t>
        </is>
      </c>
      <c r="I3" s="1" t="inlineStr">
        <is>
          <t>Notes</t>
        </is>
      </c>
    </row>
    <row r="4">
      <c r="A4" s="4" t="inlineStr">
        <is>
          <t>CAT01</t>
        </is>
      </c>
      <c r="B4" s="3">
        <f>COUNTIF('Intake Log'!F:F,"CAT01")</f>
        <v/>
      </c>
      <c r="C4" s="3">
        <f>COUNTIFS('Intake Log'!F:F,"CAT01",'Intake Log'!M:M,"Dispatched")</f>
        <v/>
      </c>
      <c r="D4" s="3">
        <f>B4-C4</f>
        <v/>
      </c>
      <c r="E4" s="16">
        <f>IF(B4=0,0,C4/B4)</f>
        <v/>
      </c>
      <c r="F4" s="17">
        <f>IFERROR(AVERAGEIFS('Intake Log'!N:N,'Intake Log'!F:F,"CAT01"),0)</f>
        <v/>
      </c>
      <c r="G4" s="3">
        <f>IF(D4=0,"Out of Stock",IF(D4&lt;3,"Low",IF(D4&lt;10,"Medium","Good")))</f>
        <v/>
      </c>
      <c r="H4" s="3">
        <f>IF(E4&gt;0.7,"Excellent",IF(E4&gt;0.4,"Good",IF(E4&gt;0,"Fair","Poor")))</f>
        <v/>
      </c>
      <c r="I4" s="3" t="inlineStr"/>
    </row>
    <row r="5">
      <c r="A5" s="4" t="inlineStr">
        <is>
          <t>CAT02</t>
        </is>
      </c>
      <c r="B5" s="3">
        <f>COUNTIF('Intake Log'!F:F,"CAT02")</f>
        <v/>
      </c>
      <c r="C5" s="3">
        <f>COUNTIFS('Intake Log'!F:F,"CAT02",'Intake Log'!M:M,"Dispatched")</f>
        <v/>
      </c>
      <c r="D5" s="3">
        <f>B5-C5</f>
        <v/>
      </c>
      <c r="E5" s="16">
        <f>IF(B5=0,0,C5/B5)</f>
        <v/>
      </c>
      <c r="F5" s="17">
        <f>IFERROR(AVERAGEIFS('Intake Log'!N:N,'Intake Log'!F:F,"CAT02"),0)</f>
        <v/>
      </c>
      <c r="G5" s="3">
        <f>IF(D5=0,"Out of Stock",IF(D5&lt;3,"Low",IF(D5&lt;10,"Medium","Good")))</f>
        <v/>
      </c>
      <c r="H5" s="3">
        <f>IF(E5&gt;0.7,"Excellent",IF(E5&gt;0.4,"Good",IF(E5&gt;0,"Fair","Poor")))</f>
        <v/>
      </c>
      <c r="I5" s="3" t="inlineStr"/>
    </row>
    <row r="6">
      <c r="A6" s="4" t="inlineStr">
        <is>
          <t>CAT03</t>
        </is>
      </c>
      <c r="B6" s="3">
        <f>COUNTIF('Intake Log'!F:F,"CAT03")</f>
        <v/>
      </c>
      <c r="C6" s="3">
        <f>COUNTIFS('Intake Log'!F:F,"CAT03",'Intake Log'!M:M,"Dispatched")</f>
        <v/>
      </c>
      <c r="D6" s="3">
        <f>B6-C6</f>
        <v/>
      </c>
      <c r="E6" s="16">
        <f>IF(B6=0,0,C6/B6)</f>
        <v/>
      </c>
      <c r="F6" s="17">
        <f>IFERROR(AVERAGEIFS('Intake Log'!N:N,'Intake Log'!F:F,"CAT03"),0)</f>
        <v/>
      </c>
      <c r="G6" s="3">
        <f>IF(D6=0,"Out of Stock",IF(D6&lt;3,"Low",IF(D6&lt;10,"Medium","Good")))</f>
        <v/>
      </c>
      <c r="H6" s="3">
        <f>IF(E6&gt;0.7,"Excellent",IF(E6&gt;0.4,"Good",IF(E6&gt;0,"Fair","Poor")))</f>
        <v/>
      </c>
      <c r="I6" s="3" t="inlineStr"/>
    </row>
    <row r="7">
      <c r="A7" s="4" t="inlineStr">
        <is>
          <t>CAT04</t>
        </is>
      </c>
      <c r="B7" s="3">
        <f>COUNTIF('Intake Log'!F:F,"CAT04")</f>
        <v/>
      </c>
      <c r="C7" s="3">
        <f>COUNTIFS('Intake Log'!F:F,"CAT04",'Intake Log'!M:M,"Dispatched")</f>
        <v/>
      </c>
      <c r="D7" s="3">
        <f>B7-C7</f>
        <v/>
      </c>
      <c r="E7" s="16">
        <f>IF(B7=0,0,C7/B7)</f>
        <v/>
      </c>
      <c r="F7" s="17">
        <f>IFERROR(AVERAGEIFS('Intake Log'!N:N,'Intake Log'!F:F,"CAT04"),0)</f>
        <v/>
      </c>
      <c r="G7" s="3">
        <f>IF(D7=0,"Out of Stock",IF(D7&lt;3,"Low",IF(D7&lt;10,"Medium","Good")))</f>
        <v/>
      </c>
      <c r="H7" s="3">
        <f>IF(E7&gt;0.7,"Excellent",IF(E7&gt;0.4,"Good",IF(E7&gt;0,"Fair","Poor")))</f>
        <v/>
      </c>
      <c r="I7" s="3" t="inlineStr"/>
    </row>
    <row r="8">
      <c r="A8" s="4" t="inlineStr">
        <is>
          <t>CAT05</t>
        </is>
      </c>
      <c r="B8" s="3">
        <f>COUNTIF('Intake Log'!F:F,"CAT05")</f>
        <v/>
      </c>
      <c r="C8" s="3">
        <f>COUNTIFS('Intake Log'!F:F,"CAT05",'Intake Log'!M:M,"Dispatched")</f>
        <v/>
      </c>
      <c r="D8" s="3">
        <f>B8-C8</f>
        <v/>
      </c>
      <c r="E8" s="16">
        <f>IF(B8=0,0,C8/B8)</f>
        <v/>
      </c>
      <c r="F8" s="17">
        <f>IFERROR(AVERAGEIFS('Intake Log'!N:N,'Intake Log'!F:F,"CAT05"),0)</f>
        <v/>
      </c>
      <c r="G8" s="3">
        <f>IF(D8=0,"Out of Stock",IF(D8&lt;3,"Low",IF(D8&lt;10,"Medium","Good")))</f>
        <v/>
      </c>
      <c r="H8" s="3">
        <f>IF(E8&gt;0.7,"Excellent",IF(E8&gt;0.4,"Good",IF(E8&gt;0,"Fair","Poor")))</f>
        <v/>
      </c>
      <c r="I8" s="3" t="inlineStr"/>
    </row>
    <row r="9">
      <c r="A9" s="4" t="inlineStr">
        <is>
          <t>CAT06</t>
        </is>
      </c>
      <c r="B9" s="3">
        <f>COUNTIF('Intake Log'!F:F,"CAT06")</f>
        <v/>
      </c>
      <c r="C9" s="3">
        <f>COUNTIFS('Intake Log'!F:F,"CAT06",'Intake Log'!M:M,"Dispatched")</f>
        <v/>
      </c>
      <c r="D9" s="3">
        <f>B9-C9</f>
        <v/>
      </c>
      <c r="E9" s="16">
        <f>IF(B9=0,0,C9/B9)</f>
        <v/>
      </c>
      <c r="F9" s="17">
        <f>IFERROR(AVERAGEIFS('Intake Log'!N:N,'Intake Log'!F:F,"CAT06"),0)</f>
        <v/>
      </c>
      <c r="G9" s="3">
        <f>IF(D9=0,"Out of Stock",IF(D9&lt;3,"Low",IF(D9&lt;10,"Medium","Good")))</f>
        <v/>
      </c>
      <c r="H9" s="3">
        <f>IF(E9&gt;0.7,"Excellent",IF(E9&gt;0.4,"Good",IF(E9&gt;0,"Fair","Poor")))</f>
        <v/>
      </c>
      <c r="I9" s="3" t="inlineStr"/>
    </row>
    <row r="10">
      <c r="A10" s="4" t="inlineStr">
        <is>
          <t>CAT07</t>
        </is>
      </c>
      <c r="B10" s="3">
        <f>COUNTIF('Intake Log'!F:F,"CAT07")</f>
        <v/>
      </c>
      <c r="C10" s="3">
        <f>COUNTIFS('Intake Log'!F:F,"CAT07",'Intake Log'!M:M,"Dispatched")</f>
        <v/>
      </c>
      <c r="D10" s="3">
        <f>B10-C10</f>
        <v/>
      </c>
      <c r="E10" s="16">
        <f>IF(B10=0,0,C10/B10)</f>
        <v/>
      </c>
      <c r="F10" s="17">
        <f>IFERROR(AVERAGEIFS('Intake Log'!N:N,'Intake Log'!F:F,"CAT07"),0)</f>
        <v/>
      </c>
      <c r="G10" s="3">
        <f>IF(D10=0,"Out of Stock",IF(D10&lt;3,"Low",IF(D10&lt;10,"Medium","Good")))</f>
        <v/>
      </c>
      <c r="H10" s="3">
        <f>IF(E10&gt;0.7,"Excellent",IF(E10&gt;0.4,"Good",IF(E10&gt;0,"Fair","Poor")))</f>
        <v/>
      </c>
      <c r="I10" s="3" t="inlineStr"/>
    </row>
    <row r="11">
      <c r="A11" s="4" t="inlineStr">
        <is>
          <t>CAT08</t>
        </is>
      </c>
      <c r="B11" s="3">
        <f>COUNTIF('Intake Log'!F:F,"CAT08")</f>
        <v/>
      </c>
      <c r="C11" s="3">
        <f>COUNTIFS('Intake Log'!F:F,"CAT08",'Intake Log'!M:M,"Dispatched")</f>
        <v/>
      </c>
      <c r="D11" s="3">
        <f>B11-C11</f>
        <v/>
      </c>
      <c r="E11" s="16">
        <f>IF(B11=0,0,C11/B11)</f>
        <v/>
      </c>
      <c r="F11" s="17">
        <f>IFERROR(AVERAGEIFS('Intake Log'!N:N,'Intake Log'!F:F,"CAT08"),0)</f>
        <v/>
      </c>
      <c r="G11" s="3">
        <f>IF(D11=0,"Out of Stock",IF(D11&lt;3,"Low",IF(D11&lt;10,"Medium","Good")))</f>
        <v/>
      </c>
      <c r="H11" s="3">
        <f>IF(E11&gt;0.7,"Excellent",IF(E11&gt;0.4,"Good",IF(E11&gt;0,"Fair","Poor")))</f>
        <v/>
      </c>
      <c r="I11" s="3" t="inlineStr"/>
    </row>
    <row r="12">
      <c r="A12" s="4" t="inlineStr">
        <is>
          <t>CAT09</t>
        </is>
      </c>
      <c r="B12" s="3">
        <f>COUNTIF('Intake Log'!F:F,"CAT09")</f>
        <v/>
      </c>
      <c r="C12" s="3">
        <f>COUNTIFS('Intake Log'!F:F,"CAT09",'Intake Log'!M:M,"Dispatched")</f>
        <v/>
      </c>
      <c r="D12" s="3">
        <f>B12-C12</f>
        <v/>
      </c>
      <c r="E12" s="16">
        <f>IF(B12=0,0,C12/B12)</f>
        <v/>
      </c>
      <c r="F12" s="17">
        <f>IFERROR(AVERAGEIFS('Intake Log'!N:N,'Intake Log'!F:F,"CAT09"),0)</f>
        <v/>
      </c>
      <c r="G12" s="3">
        <f>IF(D12=0,"Out of Stock",IF(D12&lt;3,"Low",IF(D12&lt;10,"Medium","Good")))</f>
        <v/>
      </c>
      <c r="H12" s="3">
        <f>IF(E12&gt;0.7,"Excellent",IF(E12&gt;0.4,"Good",IF(E12&gt;0,"Fair","Poor")))</f>
        <v/>
      </c>
      <c r="I12" s="3" t="inlineStr"/>
    </row>
    <row r="13">
      <c r="A13" s="4" t="inlineStr">
        <is>
          <t>CAT10</t>
        </is>
      </c>
      <c r="B13" s="3">
        <f>COUNTIF('Intake Log'!F:F,"CAT10")</f>
        <v/>
      </c>
      <c r="C13" s="3">
        <f>COUNTIFS('Intake Log'!F:F,"CAT10",'Intake Log'!M:M,"Dispatched")</f>
        <v/>
      </c>
      <c r="D13" s="3">
        <f>B13-C13</f>
        <v/>
      </c>
      <c r="E13" s="16">
        <f>IF(B13=0,0,C13/B13)</f>
        <v/>
      </c>
      <c r="F13" s="17">
        <f>IFERROR(AVERAGEIFS('Intake Log'!N:N,'Intake Log'!F:F,"CAT10"),0)</f>
        <v/>
      </c>
      <c r="G13" s="3">
        <f>IF(D13=0,"Out of Stock",IF(D13&lt;3,"Low",IF(D13&lt;10,"Medium","Good")))</f>
        <v/>
      </c>
      <c r="H13" s="3">
        <f>IF(E13&gt;0.7,"Excellent",IF(E13&gt;0.4,"Good",IF(E13&gt;0,"Fair","Poor")))</f>
        <v/>
      </c>
      <c r="I13" s="3" t="inlineStr"/>
    </row>
    <row r="14">
      <c r="A14" s="4" t="inlineStr">
        <is>
          <t>CAT11</t>
        </is>
      </c>
      <c r="B14" s="3">
        <f>COUNTIF('Intake Log'!F:F,"CAT11")</f>
        <v/>
      </c>
      <c r="C14" s="3">
        <f>COUNTIFS('Intake Log'!F:F,"CAT11",'Intake Log'!M:M,"Dispatched")</f>
        <v/>
      </c>
      <c r="D14" s="3">
        <f>B14-C14</f>
        <v/>
      </c>
      <c r="E14" s="16">
        <f>IF(B14=0,0,C14/B14)</f>
        <v/>
      </c>
      <c r="F14" s="17">
        <f>IFERROR(AVERAGEIFS('Intake Log'!N:N,'Intake Log'!F:F,"CAT11"),0)</f>
        <v/>
      </c>
      <c r="G14" s="3">
        <f>IF(D14=0,"Out of Stock",IF(D14&lt;3,"Low",IF(D14&lt;10,"Medium","Good")))</f>
        <v/>
      </c>
      <c r="H14" s="3">
        <f>IF(E14&gt;0.7,"Excellent",IF(E14&gt;0.4,"Good",IF(E14&gt;0,"Fair","Poor")))</f>
        <v/>
      </c>
      <c r="I14" s="3" t="inlineStr"/>
    </row>
    <row r="15">
      <c r="A15" s="4" t="inlineStr">
        <is>
          <t>CAT12</t>
        </is>
      </c>
      <c r="B15" s="3">
        <f>COUNTIF('Intake Log'!F:F,"CAT12")</f>
        <v/>
      </c>
      <c r="C15" s="3">
        <f>COUNTIFS('Intake Log'!F:F,"CAT12",'Intake Log'!M:M,"Dispatched")</f>
        <v/>
      </c>
      <c r="D15" s="3">
        <f>B15-C15</f>
        <v/>
      </c>
      <c r="E15" s="16">
        <f>IF(B15=0,0,C15/B15)</f>
        <v/>
      </c>
      <c r="F15" s="17">
        <f>IFERROR(AVERAGEIFS('Intake Log'!N:N,'Intake Log'!F:F,"CAT12"),0)</f>
        <v/>
      </c>
      <c r="G15" s="3">
        <f>IF(D15=0,"Out of Stock",IF(D15&lt;3,"Low",IF(D15&lt;10,"Medium","Good")))</f>
        <v/>
      </c>
      <c r="H15" s="3">
        <f>IF(E15&gt;0.7,"Excellent",IF(E15&gt;0.4,"Good",IF(E15&gt;0,"Fair","Poor")))</f>
        <v/>
      </c>
      <c r="I15" s="3" t="inlineStr"/>
    </row>
    <row r="16">
      <c r="A16" s="8" t="inlineStr">
        <is>
          <t>TOTAL / AVERAGE</t>
        </is>
      </c>
      <c r="B16" s="8">
        <f>SUM(B4:B15)</f>
        <v/>
      </c>
      <c r="C16" s="8">
        <f>SUM(C4:C15)</f>
        <v/>
      </c>
      <c r="D16" s="8">
        <f>SUM(D4:D15)</f>
        <v/>
      </c>
      <c r="E16" s="18">
        <f>IF(B16=0,0,C16/B16)</f>
        <v/>
      </c>
      <c r="F16" s="19">
        <f>AVERAGE(F4:F15)</f>
        <v/>
      </c>
      <c r="G16" s="14" t="n"/>
      <c r="H16" s="14" t="n"/>
      <c r="I16" s="14" t="n"/>
    </row>
    <row r="18">
      <c r="A18" s="7" t="inlineStr">
        <is>
          <t>LEGEND:</t>
        </is>
      </c>
    </row>
    <row r="19">
      <c r="A19" t="inlineStr">
        <is>
          <t>Turnover Rate: &gt;70% = Excellent, 40-70% = Good, &lt;40% = Fair, 0% = Poor</t>
        </is>
      </c>
    </row>
    <row r="20">
      <c r="A20" t="inlineStr">
        <is>
          <t>Stock Status: &gt;10 items = Good, 3-10 = Medium, &lt;3 = Low, 0 = Out of Stock</t>
        </is>
      </c>
    </row>
  </sheetData>
  <mergeCells count="1">
    <mergeCell ref="A1:I1"/>
  </mergeCells>
  <conditionalFormatting sqref="A4:I1000">
    <cfRule type="expression" priority="1" dxfId="0">
      <formula>$H4="Excellent"</formula>
    </cfRule>
    <cfRule type="expression" priority="2" dxfId="4">
      <formula>$H4="Good"</formula>
    </cfRule>
    <cfRule type="expression" priority="3" dxfId="1">
      <formula>$H4="Fair"</formula>
    </cfRule>
    <cfRule type="expression" priority="4" dxfId="2">
      <formula>$H4="Poor"</formula>
    </cfRule>
    <cfRule type="expression" priority="5" dxfId="2">
      <formula>OR($G4="Low",$G4="Out of Stock")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2026-03-24T11:23:32Z</dcterms:created>
  <dcterms:modified xmlns:dcterms="http://purl.org/dc/terms/" xmlns:xsi="http://www.w3.org/2001/XMLSchema-instance" xsi:type="dcterms:W3CDTF">2026-03-24T11:27:07Z</dcterms:modified>
</cp:coreProperties>
</file>